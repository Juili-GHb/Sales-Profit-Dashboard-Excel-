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ml.chartshapes+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40" windowWidth="19140" windowHeight="7090" activeTab="2"/>
  </bookViews>
  <sheets>
    <sheet name="Data" sheetId="1" r:id="rId1"/>
    <sheet name="Pivot Table" sheetId="2" r:id="rId2"/>
    <sheet name="Dashboard" sheetId="3" r:id="rId3"/>
  </sheets>
  <definedNames>
    <definedName name="Slicer_Category">#N/A</definedName>
    <definedName name="Slicer_Month">#N/A</definedName>
    <definedName name="Slicer_Year">#N/A</definedName>
  </definedNames>
  <calcPr calcId="144525"/>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X5" i="2" l="1"/>
  <c r="X6" i="2"/>
  <c r="X7" i="2"/>
  <c r="X8" i="2"/>
  <c r="X9" i="2"/>
  <c r="X10" i="2"/>
  <c r="X11" i="2"/>
  <c r="X12" i="2"/>
  <c r="X13" i="2"/>
  <c r="X14" i="2"/>
  <c r="X15" i="2"/>
  <c r="X16" i="2"/>
  <c r="X17" i="2"/>
  <c r="X18" i="2"/>
  <c r="X4" i="2"/>
  <c r="L4" i="2"/>
  <c r="L5" i="2"/>
  <c r="L6" i="2"/>
  <c r="L7" i="2"/>
  <c r="L8" i="2"/>
  <c r="L9" i="2"/>
  <c r="L10" i="2"/>
  <c r="L11" i="2"/>
  <c r="L12" i="2"/>
  <c r="L13" i="2"/>
  <c r="L14" i="2"/>
  <c r="L3" i="2"/>
  <c r="Y11" i="2"/>
  <c r="Y13" i="2"/>
  <c r="Y10" i="2"/>
  <c r="A10" i="2"/>
  <c r="M8" i="2"/>
  <c r="M6" i="2"/>
  <c r="Y8" i="2"/>
  <c r="A9" i="2"/>
  <c r="M12" i="2"/>
  <c r="M4" i="2"/>
  <c r="Y16" i="2"/>
  <c r="Y12" i="2"/>
  <c r="Y5" i="2"/>
  <c r="Y17" i="2"/>
  <c r="Y15" i="2"/>
  <c r="M11" i="2"/>
  <c r="M9" i="2"/>
  <c r="M7" i="2"/>
  <c r="M13" i="2"/>
  <c r="Y9" i="2"/>
  <c r="M5" i="2"/>
  <c r="M14" i="2"/>
  <c r="Y4" i="2"/>
  <c r="Y6" i="2"/>
  <c r="Y14" i="2"/>
  <c r="Y18" i="2"/>
  <c r="M10" i="2"/>
  <c r="Y7" i="2"/>
  <c r="M3" i="2"/>
</calcChain>
</file>

<file path=xl/sharedStrings.xml><?xml version="1.0" encoding="utf-8"?>
<sst xmlns="http://schemas.openxmlformats.org/spreadsheetml/2006/main" count="350" uniqueCount="123">
  <si>
    <t>Order Date</t>
  </si>
  <si>
    <t>Customer Name</t>
  </si>
  <si>
    <t>State</t>
  </si>
  <si>
    <t>Category</t>
  </si>
  <si>
    <t>Sub-Category</t>
  </si>
  <si>
    <t>Sales</t>
  </si>
  <si>
    <t>Quantity</t>
  </si>
  <si>
    <t>Profit</t>
  </si>
  <si>
    <t>Month</t>
  </si>
  <si>
    <t>Year</t>
  </si>
  <si>
    <t>Amit Shah</t>
  </si>
  <si>
    <t>Maharashtra</t>
  </si>
  <si>
    <t>Furniture</t>
  </si>
  <si>
    <t>Chairs</t>
  </si>
  <si>
    <t>January</t>
  </si>
  <si>
    <t>Neha Patel</t>
  </si>
  <si>
    <t>Gujarat</t>
  </si>
  <si>
    <t>Technology</t>
  </si>
  <si>
    <t>Phones</t>
  </si>
  <si>
    <t>Rahul Verma</t>
  </si>
  <si>
    <t>Delhi</t>
  </si>
  <si>
    <t>Office Supplies</t>
  </si>
  <si>
    <t>Binders</t>
  </si>
  <si>
    <t>Priya Singh</t>
  </si>
  <si>
    <t>Karnataka</t>
  </si>
  <si>
    <t>Tables</t>
  </si>
  <si>
    <t>Arjun Mehta</t>
  </si>
  <si>
    <t>Rajasthan</t>
  </si>
  <si>
    <t>Laptops</t>
  </si>
  <si>
    <t>Sneha Iyer</t>
  </si>
  <si>
    <t>Tamil Nadu</t>
  </si>
  <si>
    <t>Paper</t>
  </si>
  <si>
    <t>February</t>
  </si>
  <si>
    <t>Karan Malhotra</t>
  </si>
  <si>
    <t>Punjab</t>
  </si>
  <si>
    <t>Bookcases</t>
  </si>
  <si>
    <t>Anjali Desai</t>
  </si>
  <si>
    <t>Accessories</t>
  </si>
  <si>
    <t>Vikram Rao</t>
  </si>
  <si>
    <t>Telangana</t>
  </si>
  <si>
    <t>Storage</t>
  </si>
  <si>
    <t>Meera Joshi</t>
  </si>
  <si>
    <t>Furnishings</t>
  </si>
  <si>
    <t>Rohit Sharma</t>
  </si>
  <si>
    <t>March</t>
  </si>
  <si>
    <t>Divya Nair</t>
  </si>
  <si>
    <t>Kerala</t>
  </si>
  <si>
    <t>Art</t>
  </si>
  <si>
    <t>Manish Gupta</t>
  </si>
  <si>
    <t>Uttar Pradesh</t>
  </si>
  <si>
    <t>Pooja Reddy</t>
  </si>
  <si>
    <t>Andhra Pradesh</t>
  </si>
  <si>
    <t>Sahil Khan</t>
  </si>
  <si>
    <t>Madhya Pradesh</t>
  </si>
  <si>
    <t>Envelopes</t>
  </si>
  <si>
    <t>Ritu Kapoor</t>
  </si>
  <si>
    <t>Haryana</t>
  </si>
  <si>
    <t>Aditya Jain</t>
  </si>
  <si>
    <t>April</t>
  </si>
  <si>
    <t>Kavya Menon</t>
  </si>
  <si>
    <t>Varun Das</t>
  </si>
  <si>
    <t>West Bengal</t>
  </si>
  <si>
    <t>Ishita Roy</t>
  </si>
  <si>
    <t>Assam</t>
  </si>
  <si>
    <t>Nikhil Arora</t>
  </si>
  <si>
    <t>Tanvi Shah</t>
  </si>
  <si>
    <t>Yash Kulkarni</t>
  </si>
  <si>
    <t>Simran Kaur</t>
  </si>
  <si>
    <t>Abhishek Mishra</t>
  </si>
  <si>
    <t>Riya Sharma</t>
  </si>
  <si>
    <t>May</t>
  </si>
  <si>
    <t>Mohit Jain</t>
  </si>
  <si>
    <t>Shreya Nair</t>
  </si>
  <si>
    <t>Kunal Verma</t>
  </si>
  <si>
    <t>Aisha Khan</t>
  </si>
  <si>
    <t>Harsh Patel</t>
  </si>
  <si>
    <t>Lavanya Iyer</t>
  </si>
  <si>
    <t>Deepak Singh</t>
  </si>
  <si>
    <t>Ananya Das</t>
  </si>
  <si>
    <t>June</t>
  </si>
  <si>
    <t>Raj Malhotra</t>
  </si>
  <si>
    <t>Pritam Dutta</t>
  </si>
  <si>
    <t>Megha Kapoor</t>
  </si>
  <si>
    <t>Suresh Reddy</t>
  </si>
  <si>
    <t>Alka Sharma</t>
  </si>
  <si>
    <t>Vivek Joshi</t>
  </si>
  <si>
    <t>Sum of Sales</t>
  </si>
  <si>
    <t>Sum of Profit</t>
  </si>
  <si>
    <t>Profit By Year</t>
  </si>
  <si>
    <t>Row Labels</t>
  </si>
  <si>
    <t>Grand Total</t>
  </si>
  <si>
    <t>18/02/21</t>
  </si>
  <si>
    <t>25/04/21</t>
  </si>
  <si>
    <t>14/06/21</t>
  </si>
  <si>
    <t>21/07/21</t>
  </si>
  <si>
    <t>17/09/21</t>
  </si>
  <si>
    <t>29/11/21</t>
  </si>
  <si>
    <t>15/03/22</t>
  </si>
  <si>
    <t>19/02/22</t>
  </si>
  <si>
    <t>27/04/22</t>
  </si>
  <si>
    <t>30/09/22</t>
  </si>
  <si>
    <t>22/06/22</t>
  </si>
  <si>
    <t>18/08/22</t>
  </si>
  <si>
    <t>16/02/23</t>
  </si>
  <si>
    <t>24/04/23</t>
  </si>
  <si>
    <t>19/06/23</t>
  </si>
  <si>
    <t>15/08/23</t>
  </si>
  <si>
    <t>28/09/23</t>
  </si>
  <si>
    <t>20/02/24</t>
  </si>
  <si>
    <t>14/03/24</t>
  </si>
  <si>
    <t>26/04/24</t>
  </si>
  <si>
    <t>21/06/24</t>
  </si>
  <si>
    <t>16/08/24</t>
  </si>
  <si>
    <t>29/09/24</t>
  </si>
  <si>
    <t>Total Profit</t>
  </si>
  <si>
    <t>Total Sales</t>
  </si>
  <si>
    <t>Sales By Sub-Category</t>
  </si>
  <si>
    <t>Count of Customer Name</t>
  </si>
  <si>
    <t xml:space="preserve"> Customer Count by Year</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</si>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</sst>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mm/dd/yy;@"/>
    <numFmt numFmtId="165" formatCode="_([$$-409]* #,##0_);_([$$-409]* \(#,##0\);_([$$-409]* &quot;-&quot;??_);_(@_)"/>
    <numFmt numFmtId="166" formatCode="_(&quot;$&quot;* #,##0_);_(&quot;$&quot;* \(#,##0\);_(&quot;$&quot;* &quot;-&quot;??_);_(@_)"/>
  </numFmts>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5"/>
      <color theme="8" tint="-0.499984740745262"/>
      <name val="Calibri"/>
      <family val="2"/>
      <scheme val="minor"/>
    </font>
  </fonts>
  <fills count="6">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8" tint="0.59999389629810485"/>
        <bgColor theme="8" tint="0.59999389629810485"/>
      </patternFill>
    </fill>
    <fill>
      <patternFill patternType="solid">
        <fgColor theme="8" tint="0.79998168889431442"/>
        <bgColor indexed="64"/>
      </patternFill>
    </fill>
  </fills>
  <borders count="7">
    <border>
      <left/>
      <right/>
      <top/>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44" fontId="1" fillId="0" borderId="0" applyFont="0" applyFill="0" applyBorder="0" applyAlignment="0" applyProtection="0"/>
  </cellStyleXfs>
  <cellXfs count="27">
    <xf numFmtId="0" fontId="0" fillId="0" borderId="0" xfId="0"/>
    <xf numFmtId="0" fontId="3" fillId="0" borderId="0" xfId="0" applyFont="1" applyAlignment="1">
      <alignment horizontal="center" vertical="center" wrapText="1"/>
    </xf>
    <xf numFmtId="0" fontId="3"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right"/>
    </xf>
    <xf numFmtId="0" fontId="0" fillId="0" borderId="0" xfId="0" applyAlignment="1">
      <alignment horizontal="left" vertical="center"/>
    </xf>
    <xf numFmtId="0" fontId="2" fillId="2" borderId="2" xfId="0" applyFont="1" applyFill="1" applyBorder="1" applyAlignment="1">
      <alignment horizontal="left" vertical="center" wrapText="1"/>
    </xf>
    <xf numFmtId="0" fontId="0" fillId="4" borderId="4" xfId="0" applyFont="1" applyFill="1" applyBorder="1" applyAlignment="1">
      <alignment horizontal="left" vertical="center" wrapText="1"/>
    </xf>
    <xf numFmtId="0" fontId="0" fillId="3" borderId="4" xfId="0" applyFont="1" applyFill="1" applyBorder="1" applyAlignment="1">
      <alignment horizontal="left" vertical="center" wrapText="1"/>
    </xf>
    <xf numFmtId="0" fontId="0" fillId="3" borderId="6" xfId="0" applyFont="1" applyFill="1" applyBorder="1" applyAlignment="1">
      <alignment horizontal="left" vertical="center" wrapText="1"/>
    </xf>
    <xf numFmtId="0" fontId="0" fillId="0" borderId="0" xfId="0" applyNumberFormat="1"/>
    <xf numFmtId="0" fontId="0" fillId="0" borderId="0" xfId="0" pivotButton="1"/>
    <xf numFmtId="164" fontId="0" fillId="0" borderId="0" xfId="0" applyNumberFormat="1" applyAlignment="1">
      <alignment horizontal="left" vertical="center" wrapText="1"/>
    </xf>
    <xf numFmtId="0" fontId="4" fillId="0" borderId="0" xfId="0" applyFont="1"/>
    <xf numFmtId="0" fontId="2" fillId="2" borderId="1" xfId="0" applyFont="1" applyFill="1" applyBorder="1" applyAlignment="1">
      <alignment vertical="center" wrapText="1"/>
    </xf>
    <xf numFmtId="0" fontId="0" fillId="4" borderId="3" xfId="0" applyFont="1" applyFill="1" applyBorder="1" applyAlignment="1">
      <alignment vertical="center" wrapText="1"/>
    </xf>
    <xf numFmtId="0" fontId="0" fillId="3" borderId="3" xfId="0" applyFont="1" applyFill="1" applyBorder="1" applyAlignment="1">
      <alignment vertical="center" wrapText="1"/>
    </xf>
    <xf numFmtId="0" fontId="0" fillId="3" borderId="5" xfId="0" applyFont="1" applyFill="1" applyBorder="1" applyAlignment="1">
      <alignment vertical="center" wrapText="1"/>
    </xf>
    <xf numFmtId="0" fontId="3" fillId="0" borderId="0" xfId="0" applyFont="1" applyAlignment="1">
      <alignment horizontal="left"/>
    </xf>
    <xf numFmtId="165" fontId="0" fillId="0" borderId="0" xfId="0" applyNumberFormat="1"/>
    <xf numFmtId="165" fontId="0" fillId="0" borderId="0" xfId="0" applyNumberFormat="1" applyAlignment="1">
      <alignment horizontal="left"/>
    </xf>
    <xf numFmtId="166" fontId="0" fillId="0" borderId="0" xfId="0" applyNumberFormat="1"/>
    <xf numFmtId="166" fontId="0" fillId="0" borderId="0" xfId="1" applyNumberFormat="1" applyFont="1" applyAlignment="1">
      <alignment horizontal="left"/>
    </xf>
    <xf numFmtId="0" fontId="4" fillId="5" borderId="0" xfId="0" applyFont="1" applyFill="1"/>
    <xf numFmtId="0" fontId="4" fillId="5" borderId="0" xfId="0" applyFont="1" applyFill="1" applyAlignment="1">
      <alignment horizontal="center"/>
    </xf>
    <xf numFmtId="0" fontId="4" fillId="5" borderId="0" xfId="0" applyFont="1" applyFill="1" applyAlignment="1">
      <alignment horizontal="center"/>
    </xf>
  </cellXfs>
  <cellStyles count="2">
    <cellStyle name="Currency" xfId="1" builtinId="4"/>
    <cellStyle name="Normal" xfId="0" builtinId="0"/>
  </cellStyles>
  <dxfs count="22">
    <dxf>
      <numFmt numFmtId="166" formatCode="_(&quot;$&quot;* #,##0_);_(&quot;$&quot;* \(#,##0\);_(&quot;$&quot;* &quot;-&quot;??_);_(@_)"/>
    </dxf>
    <dxf>
      <numFmt numFmtId="165" formatCode="_([$$-409]* #,##0_);_([$$-409]* \(#,##0\);_([$$-409]* &quot;-&quot;??_);_(@_)"/>
    </dxf>
    <dxf>
      <numFmt numFmtId="166" formatCode="_(&quot;$&quot;* #,##0_);_(&quot;$&quot;* \(#,##0\);_(&quot;$&quot;* &quot;-&quot;??_);_(@_)"/>
    </dxf>
    <dxf>
      <numFmt numFmtId="167" formatCode="_(&quot;$&quot;* #,##0.0_);_(&quot;$&quot;* \(#,##0.0\);_(&quot;$&quot;* &quot;-&quot;??_);_(@_)"/>
    </dxf>
    <dxf>
      <numFmt numFmtId="166" formatCode="_(&quot;$&quot;* #,##0_);_(&quot;$&quot;* \(#,##0\);_(&quot;$&quot;* &quot;-&quot;??_);_(@_)"/>
    </dxf>
    <dxf>
      <numFmt numFmtId="165" formatCode="_([$$-409]* #,##0_);_([$$-409]* \(#,##0\);_([$$-409]* &quot;-&quot;??_);_(@_)"/>
    </dxf>
    <dxf>
      <numFmt numFmtId="165" formatCode="_([$$-409]* #,##0_);_([$$-409]* \(#,##0\);_([$$-409]* &quot;-&quot;??_);_(@_)"/>
    </dxf>
    <dxf>
      <numFmt numFmtId="166" formatCode="_(&quot;$&quot;* #,##0_);_(&quot;$&quot;* \(#,##0\);_(&quot;$&quot;* &quot;-&quot;??_);_(@_)"/>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numFmt numFmtId="164" formatCode="mm/dd/yy;@"/>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left" vertical="center" textRotation="0" wrapText="1" indent="0" justifyLastLine="0" shrinkToFit="0" readingOrder="0"/>
    </dxf>
    <dxf>
      <fill>
        <patternFill>
          <bgColor theme="8" tint="0.39994506668294322"/>
        </patternFill>
      </fill>
    </dxf>
    <dxf>
      <font>
        <b/>
        <i val="0"/>
        <sz val="12"/>
        <color theme="0"/>
      </font>
      <fill>
        <patternFill>
          <bgColor theme="8" tint="-0.499984740745262"/>
        </patternFill>
      </fill>
      <border diagonalUp="0" diagonalDown="0">
        <left style="medium">
          <color theme="0"/>
        </left>
        <right style="medium">
          <color theme="0"/>
        </right>
        <top style="medium">
          <color theme="0"/>
        </top>
        <bottom style="medium">
          <color theme="0"/>
        </bottom>
        <vertical/>
        <horizontal/>
      </border>
    </dxf>
  </dxfs>
  <tableStyles count="1" defaultTableStyle="TableStyleMedium2" defaultPivotStyle="PivotStyleLight16">
    <tableStyle name="Slicer Style 1" pivot="0" table="0" count="3">
      <tableStyleElement type="wholeTable" dxfId="21"/>
      <tableStyleElement type="headerRow" dxfId="20"/>
    </tableStyle>
  </tableStyles>
  <extLst>
    <ext xmlns:x14="http://schemas.microsoft.com/office/spreadsheetml/2009/9/main" uri="{46F421CA-312F-682f-3DD2-61675219B42D}">
      <x14:dxfs count="1">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[profit and sales dashboard.xlsx]Pivot Table!PivotTable3</c:name>
    <c:fmtId val="2"/>
  </c:pivotSource>
  <c:chart>
    <c:autoTitleDeleted val="0"/>
    <c:pivotFmts>
      <c:pivotFmt>
        <c:idx val="0"/>
      </c:pivotFmt>
      <c:pivotFmt>
        <c:idx val="1"/>
      </c:pivotFmt>
      <c:pivotFmt>
        <c:idx val="2"/>
      </c:pivotFmt>
      <c:pivotFmt>
        <c:idx val="3"/>
        <c:marker>
          <c:symbol val="none"/>
        </c:marker>
      </c:pivotFmt>
      <c:pivotFmt>
        <c:idx val="4"/>
        <c:marker>
          <c:symbol val="none"/>
        </c:marker>
      </c:pivotFmt>
      <c:pivotFmt>
        <c:idx val="5"/>
        <c:marker>
          <c:symbol val="none"/>
        </c:marker>
      </c:pivotFmt>
      <c:pivotFmt>
        <c:idx val="6"/>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
        <c:idx val="7"/>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
        <c:idx val="8"/>
        <c:spPr>
          <a:effectLst>
            <a:outerShdw blurRad="50800" dist="38100" dir="2700000" algn="tl" rotWithShape="0">
              <a:prstClr val="black">
                <a:alpha val="40000"/>
              </a:prstClr>
            </a:outerShdw>
          </a:effectLst>
        </c:spPr>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
          <c:y val="4.9689379135298098E-2"/>
          <c:w val="1"/>
          <c:h val="0.74642802011477283"/>
        </c:manualLayout>
      </c:layout>
      <c:barChart>
        <c:barDir val="col"/>
        <c:grouping val="clustered"/>
        <c:varyColors val="0"/>
        <c:ser>
          <c:idx val="0"/>
          <c:order val="0"/>
          <c:tx>
            <c:strRef>
              <c:f>'Pivot Table'!$D$2:$D$3</c:f>
              <c:strCache>
                <c:ptCount val="1"/>
                <c:pt idx="0">
                  <c:v>Furniture</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Table'!$C$4:$C$8</c:f>
              <c:strCache>
                <c:ptCount val="4"/>
                <c:pt idx="0">
                  <c:v>2024</c:v>
                </c:pt>
                <c:pt idx="1">
                  <c:v>2021</c:v>
                </c:pt>
                <c:pt idx="2">
                  <c:v>2022</c:v>
                </c:pt>
                <c:pt idx="3">
                  <c:v>2023</c:v>
                </c:pt>
              </c:strCache>
            </c:strRef>
          </c:cat>
          <c:val>
            <c:numRef>
              <c:f>'Pivot Table'!$D$4:$D$8</c:f>
              <c:numCache>
                <c:formatCode>_("$"* #,##0_);_("$"* \(#,##0\);_("$"* "-"??_);_(@_)</c:formatCode>
                <c:ptCount val="4"/>
                <c:pt idx="0">
                  <c:v>3050</c:v>
                </c:pt>
                <c:pt idx="1">
                  <c:v>2700</c:v>
                </c:pt>
                <c:pt idx="2">
                  <c:v>2110</c:v>
                </c:pt>
                <c:pt idx="3">
                  <c:v>2500</c:v>
                </c:pt>
              </c:numCache>
            </c:numRef>
          </c:val>
        </c:ser>
        <c:ser>
          <c:idx val="1"/>
          <c:order val="1"/>
          <c:tx>
            <c:strRef>
              <c:f>'Pivot Table'!$E$2:$E$3</c:f>
              <c:strCache>
                <c:ptCount val="1"/>
                <c:pt idx="0">
                  <c:v>Office Supplies</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Table'!$C$4:$C$8</c:f>
              <c:strCache>
                <c:ptCount val="4"/>
                <c:pt idx="0">
                  <c:v>2024</c:v>
                </c:pt>
                <c:pt idx="1">
                  <c:v>2021</c:v>
                </c:pt>
                <c:pt idx="2">
                  <c:v>2022</c:v>
                </c:pt>
                <c:pt idx="3">
                  <c:v>2023</c:v>
                </c:pt>
              </c:strCache>
            </c:strRef>
          </c:cat>
          <c:val>
            <c:numRef>
              <c:f>'Pivot Table'!$E$4:$E$8</c:f>
              <c:numCache>
                <c:formatCode>_("$"* #,##0_);_("$"* \(#,##0\);_("$"* "-"??_);_(@_)</c:formatCode>
                <c:ptCount val="4"/>
                <c:pt idx="0">
                  <c:v>735</c:v>
                </c:pt>
                <c:pt idx="1">
                  <c:v>670</c:v>
                </c:pt>
                <c:pt idx="2">
                  <c:v>410</c:v>
                </c:pt>
                <c:pt idx="3">
                  <c:v>715</c:v>
                </c:pt>
              </c:numCache>
            </c:numRef>
          </c:val>
        </c:ser>
        <c:ser>
          <c:idx val="2"/>
          <c:order val="2"/>
          <c:tx>
            <c:strRef>
              <c:f>'Pivot Table'!$F$2:$F$3</c:f>
              <c:strCache>
                <c:ptCount val="1"/>
                <c:pt idx="0">
                  <c:v>Technology</c:v>
                </c:pt>
              </c:strCache>
            </c:strRef>
          </c:tx>
          <c:spPr>
            <a:effectLst>
              <a:outerShdw blurRad="50800" dist="38100" dir="2700000" algn="tl" rotWithShape="0">
                <a:prstClr val="black">
                  <a:alpha val="40000"/>
                </a:prstClr>
              </a:outerShdw>
            </a:effectLst>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Table'!$C$4:$C$8</c:f>
              <c:strCache>
                <c:ptCount val="4"/>
                <c:pt idx="0">
                  <c:v>2024</c:v>
                </c:pt>
                <c:pt idx="1">
                  <c:v>2021</c:v>
                </c:pt>
                <c:pt idx="2">
                  <c:v>2022</c:v>
                </c:pt>
                <c:pt idx="3">
                  <c:v>2023</c:v>
                </c:pt>
              </c:strCache>
            </c:strRef>
          </c:cat>
          <c:val>
            <c:numRef>
              <c:f>'Pivot Table'!$F$4:$F$8</c:f>
              <c:numCache>
                <c:formatCode>_("$"* #,##0_);_("$"* \(#,##0\);_("$"* "-"??_);_(@_)</c:formatCode>
                <c:ptCount val="4"/>
                <c:pt idx="0">
                  <c:v>8200</c:v>
                </c:pt>
                <c:pt idx="1">
                  <c:v>7300</c:v>
                </c:pt>
                <c:pt idx="2">
                  <c:v>9550</c:v>
                </c:pt>
                <c:pt idx="3">
                  <c:v>8610</c:v>
                </c:pt>
              </c:numCache>
            </c:numRef>
          </c:val>
        </c:ser>
        <c:dLbls>
          <c:dLblPos val="outEnd"/>
          <c:showLegendKey val="0"/>
          <c:showVal val="1"/>
          <c:showCatName val="0"/>
          <c:showSerName val="0"/>
          <c:showPercent val="0"/>
          <c:showBubbleSize val="0"/>
        </c:dLbls>
        <c:gapWidth val="150"/>
        <c:axId val="144070144"/>
        <c:axId val="144071680"/>
      </c:barChart>
      <c:catAx>
        <c:axId val="144070144"/>
        <c:scaling>
          <c:orientation val="minMax"/>
        </c:scaling>
        <c:delete val="0"/>
        <c:axPos val="b"/>
        <c:majorTickMark val="out"/>
        <c:minorTickMark val="none"/>
        <c:tickLblPos val="nextTo"/>
        <c:crossAx val="144071680"/>
        <c:crosses val="autoZero"/>
        <c:auto val="1"/>
        <c:lblAlgn val="ctr"/>
        <c:lblOffset val="100"/>
        <c:noMultiLvlLbl val="0"/>
      </c:catAx>
      <c:valAx>
        <c:axId val="144071680"/>
        <c:scaling>
          <c:orientation val="minMax"/>
        </c:scaling>
        <c:delete val="1"/>
        <c:axPos val="l"/>
        <c:numFmt formatCode="_(&quot;$&quot;* #,##0_);_(&quot;$&quot;* \(#,##0\);_(&quot;$&quot;* &quot;-&quot;??_);_(@_)" sourceLinked="1"/>
        <c:majorTickMark val="out"/>
        <c:minorTickMark val="none"/>
        <c:tickLblPos val="nextTo"/>
        <c:crossAx val="144070144"/>
        <c:crosses val="autoZero"/>
        <c:crossBetween val="between"/>
      </c:valAx>
      <c:spPr>
        <a:noFill/>
        <a:ln>
          <a:noFill/>
        </a:ln>
      </c:spPr>
    </c:plotArea>
    <c:legend>
      <c:legendPos val="b"/>
      <c:layout/>
      <c:overlay val="0"/>
      <c:spPr>
        <a:ln>
          <a:noFill/>
        </a:ln>
      </c:sp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solidFill>
                  <a:schemeClr val="accent5">
                    <a:lumMod val="50000"/>
                  </a:schemeClr>
                </a:solidFill>
              </a:rPr>
              <a:t>SALES</a:t>
            </a:r>
            <a:r>
              <a:rPr lang="en-US" baseline="0">
                <a:solidFill>
                  <a:schemeClr val="accent5">
                    <a:lumMod val="50000"/>
                  </a:schemeClr>
                </a:solidFill>
              </a:rPr>
              <a:t> BY CATEGORY</a:t>
            </a:r>
            <a:endParaRPr lang="en-US">
              <a:solidFill>
                <a:schemeClr val="accent5">
                  <a:lumMod val="50000"/>
                </a:schemeClr>
              </a:solidFill>
            </a:endParaRPr>
          </a:p>
        </c:rich>
      </c:tx>
      <c:layout>
        <c:manualLayout>
          <c:xMode val="edge"/>
          <c:yMode val="edge"/>
          <c:x val="0.14284565924976372"/>
          <c:y val="0"/>
        </c:manualLayout>
      </c:layout>
      <c:overlay val="0"/>
      <c:spPr>
        <a:noFill/>
      </c:spPr>
    </c:title>
    <c:autoTitleDeleted val="0"/>
    <c:plotArea>
      <c:layout>
        <c:manualLayout>
          <c:layoutTarget val="inner"/>
          <c:xMode val="edge"/>
          <c:yMode val="edge"/>
          <c:x val="0.28242011818384122"/>
          <c:y val="0.14551508003038691"/>
          <c:w val="0.71757988181615884"/>
          <c:h val="0.81635116466275648"/>
        </c:manualLayout>
      </c:layout>
      <c:barChart>
        <c:barDir val="bar"/>
        <c:grouping val="clustered"/>
        <c:varyColors val="0"/>
        <c:ser>
          <c:idx val="0"/>
          <c:order val="0"/>
          <c:tx>
            <c:strRef>
              <c:f>'Pivot Table'!$M$2</c:f>
              <c:strCache>
                <c:ptCount val="1"/>
                <c:pt idx="0">
                  <c:v>Sales</c:v>
                </c:pt>
              </c:strCache>
            </c:strRef>
          </c:tx>
          <c:spPr>
            <a:solidFill>
              <a:schemeClr val="accent5">
                <a:lumMod val="50000"/>
              </a:schemeClr>
            </a:solidFill>
            <a:effectLst>
              <a:outerShdw blurRad="50800" dist="38100" dir="2700000" algn="tl" rotWithShape="0">
                <a:prstClr val="black">
                  <a:alpha val="40000"/>
                </a:prstClr>
              </a:outerShdw>
            </a:effectLst>
          </c:spPr>
          <c:invertIfNegative val="0"/>
          <c:cat>
            <c:strRef>
              <c:f>'Pivot Table'!$L$3:$L$14</c:f>
              <c:strCache>
                <c:ptCount val="12"/>
                <c:pt idx="0">
                  <c:v>Envelopes</c:v>
                </c:pt>
                <c:pt idx="1">
                  <c:v>Art</c:v>
                </c:pt>
                <c:pt idx="2">
                  <c:v>Paper</c:v>
                </c:pt>
                <c:pt idx="3">
                  <c:v>Binders</c:v>
                </c:pt>
                <c:pt idx="4">
                  <c:v>Furnishings</c:v>
                </c:pt>
                <c:pt idx="5">
                  <c:v>Storage</c:v>
                </c:pt>
                <c:pt idx="6">
                  <c:v>Accessories</c:v>
                </c:pt>
                <c:pt idx="7">
                  <c:v>Bookcases</c:v>
                </c:pt>
                <c:pt idx="8">
                  <c:v>Chairs</c:v>
                </c:pt>
                <c:pt idx="9">
                  <c:v>Tables</c:v>
                </c:pt>
                <c:pt idx="10">
                  <c:v>Phones</c:v>
                </c:pt>
                <c:pt idx="11">
                  <c:v>Laptops</c:v>
                </c:pt>
              </c:strCache>
            </c:strRef>
          </c:cat>
          <c:val>
            <c:numRef>
              <c:f>'Pivot Table'!$M$3:$M$14</c:f>
              <c:numCache>
                <c:formatCode>_("$"* #,##0_);_("$"* \(#,##0\);_("$"* "-"??_);_(@_)</c:formatCode>
                <c:ptCount val="12"/>
                <c:pt idx="0">
                  <c:v>1450</c:v>
                </c:pt>
                <c:pt idx="1">
                  <c:v>2800</c:v>
                </c:pt>
                <c:pt idx="2">
                  <c:v>2830</c:v>
                </c:pt>
                <c:pt idx="3">
                  <c:v>3700</c:v>
                </c:pt>
                <c:pt idx="4">
                  <c:v>5800</c:v>
                </c:pt>
                <c:pt idx="5">
                  <c:v>9500</c:v>
                </c:pt>
                <c:pt idx="6">
                  <c:v>11400</c:v>
                </c:pt>
                <c:pt idx="7">
                  <c:v>21800</c:v>
                </c:pt>
                <c:pt idx="8">
                  <c:v>21900</c:v>
                </c:pt>
                <c:pt idx="9">
                  <c:v>35300</c:v>
                </c:pt>
                <c:pt idx="10">
                  <c:v>105000</c:v>
                </c:pt>
                <c:pt idx="11">
                  <c:v>215000</c:v>
                </c:pt>
              </c:numCache>
            </c:numRef>
          </c:val>
        </c:ser>
        <c:dLbls>
          <c:dLblPos val="outEnd"/>
          <c:showLegendKey val="0"/>
          <c:showVal val="1"/>
          <c:showCatName val="0"/>
          <c:showSerName val="0"/>
          <c:showPercent val="0"/>
          <c:showBubbleSize val="0"/>
        </c:dLbls>
        <c:gapWidth val="150"/>
        <c:axId val="144108928"/>
        <c:axId val="143729792"/>
      </c:barChart>
      <c:catAx>
        <c:axId val="144108928"/>
        <c:scaling>
          <c:orientation val="minMax"/>
        </c:scaling>
        <c:delete val="0"/>
        <c:axPos val="l"/>
        <c:majorTickMark val="out"/>
        <c:minorTickMark val="none"/>
        <c:tickLblPos val="nextTo"/>
        <c:crossAx val="143729792"/>
        <c:crosses val="autoZero"/>
        <c:auto val="1"/>
        <c:lblAlgn val="ctr"/>
        <c:lblOffset val="100"/>
        <c:noMultiLvlLbl val="0"/>
      </c:catAx>
      <c:valAx>
        <c:axId val="143729792"/>
        <c:scaling>
          <c:orientation val="minMax"/>
        </c:scaling>
        <c:delete val="1"/>
        <c:axPos val="b"/>
        <c:numFmt formatCode="_(&quot;$&quot;* #,##0_);_(&quot;$&quot;* \(#,##0\);_(&quot;$&quot;* &quot;-&quot;??_);_(@_)" sourceLinked="1"/>
        <c:majorTickMark val="out"/>
        <c:minorTickMark val="none"/>
        <c:tickLblPos val="nextTo"/>
        <c:crossAx val="144108928"/>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[profit and sales dashboard.xlsx]Pivot Table!PivotTable6</c:name>
    <c:fmtId val="5"/>
  </c:pivotSource>
  <c:chart>
    <c:title>
      <c:tx>
        <c:rich>
          <a:bodyPr/>
          <a:lstStyle/>
          <a:p>
            <a:pPr>
              <a:defRPr sz="1400">
                <a:solidFill>
                  <a:schemeClr val="accent5">
                    <a:lumMod val="50000"/>
                  </a:schemeClr>
                </a:solidFill>
              </a:defRPr>
            </a:pPr>
            <a:r>
              <a:rPr lang="en-US" sz="1400">
                <a:solidFill>
                  <a:schemeClr val="accent5">
                    <a:lumMod val="50000"/>
                  </a:schemeClr>
                </a:solidFill>
              </a:rPr>
              <a:t>CUSTOMER COUNT</a:t>
            </a:r>
          </a:p>
          <a:p>
            <a:pPr>
              <a:defRPr sz="1400">
                <a:solidFill>
                  <a:schemeClr val="accent5">
                    <a:lumMod val="50000"/>
                  </a:schemeClr>
                </a:solidFill>
              </a:defRPr>
            </a:pPr>
            <a:r>
              <a:rPr lang="en-US" sz="1400">
                <a:solidFill>
                  <a:schemeClr val="accent5">
                    <a:lumMod val="50000"/>
                  </a:schemeClr>
                </a:solidFill>
              </a:rPr>
              <a:t> BY YEAR</a:t>
            </a:r>
          </a:p>
        </c:rich>
      </c:tx>
      <c:layout>
        <c:manualLayout>
          <c:xMode val="edge"/>
          <c:yMode val="edge"/>
          <c:x val="0.16776150630677403"/>
          <c:y val="3.9151672655022896E-2"/>
        </c:manualLayout>
      </c:layout>
      <c:overlay val="0"/>
    </c:title>
    <c:autoTitleDeleted val="0"/>
    <c:pivotFmts>
      <c:pivotFmt>
        <c:idx val="0"/>
      </c:pivotFmt>
      <c:pivotFmt>
        <c:idx val="1"/>
      </c:pivotFmt>
      <c:pivotFmt>
        <c:idx val="2"/>
        <c:spPr>
          <a:effectLst>
            <a:outerShdw blurRad="50800" dist="38100" dir="2700000" algn="tl" rotWithShape="0">
              <a:prstClr val="black">
                <a:alpha val="40000"/>
              </a:prstClr>
            </a:outerShdw>
          </a:effectLst>
        </c:spPr>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strRef>
              <c:f>'Pivot Table'!$S$3</c:f>
              <c:strCache>
                <c:ptCount val="1"/>
                <c:pt idx="0">
                  <c:v>Total</c:v>
                </c:pt>
              </c:strCache>
            </c:strRef>
          </c:tx>
          <c:spPr>
            <a:effectLst>
              <a:outerShdw blurRad="50800" dist="38100" dir="2700000" algn="tl" rotWithShape="0">
                <a:prstClr val="black">
                  <a:alpha val="40000"/>
                </a:prstClr>
              </a:outerShdw>
            </a:effectLst>
          </c:spPr>
          <c:dLbls>
            <c:spPr/>
            <c:txPr>
              <a:bodyPr/>
              <a:lstStyle/>
              <a:p>
                <a:pPr>
                  <a:defRPr/>
                </a:pPr>
                <a:endParaRPr lang="en-US"/>
              </a:p>
            </c:txPr>
            <c:showLegendKey val="0"/>
            <c:showVal val="1"/>
            <c:showCatName val="0"/>
            <c:showSerName val="0"/>
            <c:showPercent val="0"/>
            <c:showBubbleSize val="0"/>
            <c:showLeaderLines val="1"/>
          </c:dLbls>
          <c:cat>
            <c:strRef>
              <c:f>'Pivot Table'!$R$4:$R$8</c:f>
              <c:strCache>
                <c:ptCount val="4"/>
                <c:pt idx="0">
                  <c:v>2021</c:v>
                </c:pt>
                <c:pt idx="1">
                  <c:v>2022</c:v>
                </c:pt>
                <c:pt idx="2">
                  <c:v>2023</c:v>
                </c:pt>
                <c:pt idx="3">
                  <c:v>2024</c:v>
                </c:pt>
              </c:strCache>
            </c:strRef>
          </c:cat>
          <c:val>
            <c:numRef>
              <c:f>'Pivot Table'!$S$4:$S$8</c:f>
              <c:numCache>
                <c:formatCode>General</c:formatCode>
                <c:ptCount val="4"/>
                <c:pt idx="0">
                  <c:v>10</c:v>
                </c:pt>
                <c:pt idx="1">
                  <c:v>10</c:v>
                </c:pt>
                <c:pt idx="2">
                  <c:v>10</c:v>
                </c:pt>
                <c:pt idx="3">
                  <c:v>10</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a:lstStyle/>
          <a:p>
            <a:pPr>
              <a:defRPr sz="1800"/>
            </a:pPr>
            <a:r>
              <a:rPr lang="en-US" sz="1800">
                <a:solidFill>
                  <a:schemeClr val="accent5">
                    <a:lumMod val="50000"/>
                  </a:schemeClr>
                </a:solidFill>
              </a:rPr>
              <a:t>SALES</a:t>
            </a:r>
            <a:r>
              <a:rPr lang="en-US" sz="1800" baseline="0">
                <a:solidFill>
                  <a:schemeClr val="accent5">
                    <a:lumMod val="50000"/>
                  </a:schemeClr>
                </a:solidFill>
              </a:rPr>
              <a:t> BY STATE</a:t>
            </a:r>
            <a:endParaRPr lang="en-US" sz="1800">
              <a:solidFill>
                <a:schemeClr val="accent5">
                  <a:lumMod val="50000"/>
                </a:schemeClr>
              </a:solidFill>
            </a:endParaRPr>
          </a:p>
        </c:rich>
      </c:tx>
      <c:overlay val="0"/>
    </c:title>
    <c:autoTitleDeleted val="0"/>
    <c:plotArea>
      <c:layout>
        <c:manualLayout>
          <c:layoutTarget val="inner"/>
          <c:xMode val="edge"/>
          <c:yMode val="edge"/>
          <c:x val="0.18455608110282187"/>
          <c:y val="0.12492602539845199"/>
          <c:w val="0.81310883425035974"/>
          <c:h val="0.83472550476744467"/>
        </c:manualLayout>
      </c:layout>
      <c:barChart>
        <c:barDir val="bar"/>
        <c:grouping val="stacked"/>
        <c:varyColors val="0"/>
        <c:ser>
          <c:idx val="0"/>
          <c:order val="0"/>
          <c:tx>
            <c:strRef>
              <c:f>'Pivot Table'!$Y$3</c:f>
              <c:strCache>
                <c:ptCount val="1"/>
                <c:pt idx="0">
                  <c:v>Sales</c:v>
                </c:pt>
              </c:strCache>
            </c:strRef>
          </c:tx>
          <c:spPr>
            <a:effectLst>
              <a:outerShdw blurRad="50800" dist="38100" dir="2700000" algn="tl" rotWithShape="0">
                <a:prstClr val="black">
                  <a:alpha val="40000"/>
                </a:prstClr>
              </a:outerShdw>
            </a:effectLst>
          </c:spPr>
          <c:invertIfNegative val="0"/>
          <c:dLbls>
            <c:dLbl>
              <c:idx val="7"/>
              <c:layout>
                <c:manualLayout>
                  <c:x val="3.0355916543706993E-2"/>
                  <c:y val="0"/>
                </c:manualLayout>
              </c:layout>
              <c:showLegendKey val="0"/>
              <c:showVal val="1"/>
              <c:showCatName val="0"/>
              <c:showSerName val="0"/>
              <c:showPercent val="0"/>
              <c:showBubbleSize val="0"/>
            </c:dLbl>
            <c:showLegendKey val="0"/>
            <c:showVal val="1"/>
            <c:showCatName val="0"/>
            <c:showSerName val="0"/>
            <c:showPercent val="0"/>
            <c:showBubbleSize val="0"/>
            <c:showLeaderLines val="0"/>
          </c:dLbls>
          <c:cat>
            <c:strRef>
              <c:f>'Pivot Table'!$X$4:$X$18</c:f>
              <c:strCache>
                <c:ptCount val="15"/>
                <c:pt idx="0">
                  <c:v>Andhra Pradesh</c:v>
                </c:pt>
                <c:pt idx="1">
                  <c:v>Assam</c:v>
                </c:pt>
                <c:pt idx="2">
                  <c:v>Delhi</c:v>
                </c:pt>
                <c:pt idx="3">
                  <c:v>Gujarat</c:v>
                </c:pt>
                <c:pt idx="4">
                  <c:v>Haryana</c:v>
                </c:pt>
                <c:pt idx="5">
                  <c:v>Karnataka</c:v>
                </c:pt>
                <c:pt idx="6">
                  <c:v>Kerala</c:v>
                </c:pt>
                <c:pt idx="7">
                  <c:v>Madhya Pradesh</c:v>
                </c:pt>
                <c:pt idx="8">
                  <c:v>Maharashtra</c:v>
                </c:pt>
                <c:pt idx="9">
                  <c:v>Punjab</c:v>
                </c:pt>
                <c:pt idx="10">
                  <c:v>Rajasthan</c:v>
                </c:pt>
                <c:pt idx="11">
                  <c:v>Tamil Nadu</c:v>
                </c:pt>
                <c:pt idx="12">
                  <c:v>Telangana</c:v>
                </c:pt>
                <c:pt idx="13">
                  <c:v>Uttar Pradesh</c:v>
                </c:pt>
                <c:pt idx="14">
                  <c:v>West Bengal</c:v>
                </c:pt>
              </c:strCache>
            </c:strRef>
          </c:cat>
          <c:val>
            <c:numRef>
              <c:f>'Pivot Table'!$Y$4:$Y$18</c:f>
              <c:numCache>
                <c:formatCode>_([$$-409]* #,##0_);_([$$-409]* \(#,##0\);_([$$-409]* "-"??_);_(@_)</c:formatCode>
                <c:ptCount val="15"/>
                <c:pt idx="0">
                  <c:v>48000</c:v>
                </c:pt>
                <c:pt idx="1">
                  <c:v>18980</c:v>
                </c:pt>
                <c:pt idx="2">
                  <c:v>48150</c:v>
                </c:pt>
                <c:pt idx="3">
                  <c:v>25900</c:v>
                </c:pt>
                <c:pt idx="4">
                  <c:v>17200</c:v>
                </c:pt>
                <c:pt idx="5">
                  <c:v>9100</c:v>
                </c:pt>
                <c:pt idx="6">
                  <c:v>10200</c:v>
                </c:pt>
                <c:pt idx="7">
                  <c:v>1450</c:v>
                </c:pt>
                <c:pt idx="8">
                  <c:v>79100</c:v>
                </c:pt>
                <c:pt idx="9">
                  <c:v>13000</c:v>
                </c:pt>
                <c:pt idx="10">
                  <c:v>61200</c:v>
                </c:pt>
                <c:pt idx="11">
                  <c:v>52900</c:v>
                </c:pt>
                <c:pt idx="12">
                  <c:v>29200</c:v>
                </c:pt>
                <c:pt idx="13">
                  <c:v>12400</c:v>
                </c:pt>
                <c:pt idx="14">
                  <c:v>9700</c:v>
                </c:pt>
              </c:numCache>
            </c:numRef>
          </c:val>
        </c:ser>
        <c:dLbls>
          <c:showLegendKey val="0"/>
          <c:showVal val="1"/>
          <c:showCatName val="0"/>
          <c:showSerName val="0"/>
          <c:showPercent val="0"/>
          <c:showBubbleSize val="0"/>
        </c:dLbls>
        <c:gapWidth val="95"/>
        <c:overlap val="100"/>
        <c:axId val="143774848"/>
        <c:axId val="143781888"/>
      </c:barChart>
      <c:catAx>
        <c:axId val="143774848"/>
        <c:scaling>
          <c:orientation val="minMax"/>
        </c:scaling>
        <c:delete val="0"/>
        <c:axPos val="l"/>
        <c:majorTickMark val="none"/>
        <c:minorTickMark val="none"/>
        <c:tickLblPos val="nextTo"/>
        <c:crossAx val="143781888"/>
        <c:crosses val="autoZero"/>
        <c:auto val="1"/>
        <c:lblAlgn val="ctr"/>
        <c:lblOffset val="100"/>
        <c:noMultiLvlLbl val="0"/>
      </c:catAx>
      <c:valAx>
        <c:axId val="143781888"/>
        <c:scaling>
          <c:orientation val="minMax"/>
        </c:scaling>
        <c:delete val="1"/>
        <c:axPos val="b"/>
        <c:numFmt formatCode="_([$$-409]* #,##0_);_([$$-409]* \(#,##0\);_([$$-409]* &quot;-&quot;??_);_(@_)" sourceLinked="1"/>
        <c:majorTickMark val="out"/>
        <c:minorTickMark val="none"/>
        <c:tickLblPos val="nextTo"/>
        <c:crossAx val="143774848"/>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[profit and sales dashboard.xlsx]Pivot Table!PivotTable8</c:name>
    <c:fmtId val="4"/>
  </c:pivotSource>
  <c:chart>
    <c:autoTitleDeleted val="1"/>
    <c:pivotFmts>
      <c:pivotFmt>
        <c:idx val="0"/>
      </c:pivotFmt>
      <c:pivotFmt>
        <c:idx val="1"/>
      </c:pivotFmt>
      <c:pivotFmt>
        <c:idx val="2"/>
        <c:marker>
          <c:symbol val="none"/>
        </c:marker>
      </c:pivotFmt>
    </c:pivotFmts>
    <c:view3D>
      <c:rotX val="15"/>
      <c:rotY val="20"/>
      <c:rAngAx val="1"/>
    </c:view3D>
    <c:floor>
      <c:thickness val="0"/>
    </c:floor>
    <c:sideWall>
      <c:thickness val="0"/>
    </c:sideWall>
    <c:backWall>
      <c:thickness val="0"/>
    </c:backWall>
    <c:plotArea>
      <c:layout/>
      <c:bar3DChart>
        <c:barDir val="bar"/>
        <c:grouping val="clustered"/>
        <c:varyColors val="0"/>
        <c:ser>
          <c:idx val="0"/>
          <c:order val="0"/>
          <c:tx>
            <c:strRef>
              <c:f>'Pivot Table'!$AB$3</c:f>
              <c:strCache>
                <c:ptCount val="1"/>
                <c:pt idx="0">
                  <c:v>Total</c:v>
                </c:pt>
              </c:strCache>
            </c:strRef>
          </c:tx>
          <c:invertIfNegative val="0"/>
          <c:dLbls>
            <c:delete val="1"/>
          </c:dLbls>
          <c:cat>
            <c:strRef>
              <c:f>'Pivot Table'!$AA$4:$AA$9</c:f>
              <c:strCache>
                <c:ptCount val="5"/>
                <c:pt idx="0">
                  <c:v>Suresh Reddy</c:v>
                </c:pt>
                <c:pt idx="1">
                  <c:v>Pooja Reddy</c:v>
                </c:pt>
                <c:pt idx="2">
                  <c:v>Lavanya Iyer</c:v>
                </c:pt>
                <c:pt idx="3">
                  <c:v>Arjun Mehta</c:v>
                </c:pt>
                <c:pt idx="4">
                  <c:v>Yash Kulkarni</c:v>
                </c:pt>
              </c:strCache>
            </c:strRef>
          </c:cat>
          <c:val>
            <c:numRef>
              <c:f>'Pivot Table'!$AB$4:$AB$9</c:f>
              <c:numCache>
                <c:formatCode>_([$$-409]* #,##0_);_([$$-409]* \(#,##0\);_([$$-409]* "-"??_);_(@_)</c:formatCode>
                <c:ptCount val="5"/>
                <c:pt idx="0">
                  <c:v>3000</c:v>
                </c:pt>
                <c:pt idx="1">
                  <c:v>4500</c:v>
                </c:pt>
                <c:pt idx="2">
                  <c:v>4800</c:v>
                </c:pt>
                <c:pt idx="3">
                  <c:v>5000</c:v>
                </c:pt>
                <c:pt idx="4">
                  <c:v>5500</c:v>
                </c:pt>
              </c:numCache>
            </c:numRef>
          </c:val>
        </c:ser>
        <c:dLbls>
          <c:showLegendKey val="0"/>
          <c:showVal val="1"/>
          <c:showCatName val="0"/>
          <c:showSerName val="0"/>
          <c:showPercent val="0"/>
          <c:showBubbleSize val="0"/>
        </c:dLbls>
        <c:gapWidth val="150"/>
        <c:shape val="box"/>
        <c:axId val="143884672"/>
        <c:axId val="143886208"/>
        <c:axId val="0"/>
      </c:bar3DChart>
      <c:catAx>
        <c:axId val="143884672"/>
        <c:scaling>
          <c:orientation val="minMax"/>
        </c:scaling>
        <c:delete val="0"/>
        <c:axPos val="l"/>
        <c:majorTickMark val="out"/>
        <c:minorTickMark val="none"/>
        <c:tickLblPos val="nextTo"/>
        <c:crossAx val="143886208"/>
        <c:crosses val="autoZero"/>
        <c:auto val="1"/>
        <c:lblAlgn val="ctr"/>
        <c:lblOffset val="100"/>
        <c:noMultiLvlLbl val="0"/>
      </c:catAx>
      <c:valAx>
        <c:axId val="143886208"/>
        <c:scaling>
          <c:orientation val="minMax"/>
        </c:scaling>
        <c:delete val="1"/>
        <c:axPos val="b"/>
        <c:numFmt formatCode="_([$$-409]* #,##0_);_([$$-409]* \(#,##0\);_([$$-409]* &quot;-&quot;??_);_(@_)" sourceLinked="1"/>
        <c:majorTickMark val="out"/>
        <c:minorTickMark val="none"/>
        <c:tickLblPos val="nextTo"/>
        <c:crossAx val="143884672"/>
        <c:crosses val="autoZero"/>
        <c:crossBetween val="between"/>
      </c:valAx>
    </c:plotArea>
    <c:plotVisOnly val="1"/>
    <c:dispBlanksAs val="gap"/>
    <c:showDLblsOverMax val="0"/>
  </c:chart>
  <c:spPr>
    <a:noFill/>
    <a:ln>
      <a:noFill/>
    </a:ln>
  </c:sp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[profit and sales dashboard.xlsx]Pivot Table!PivotTable9</c:name>
    <c:fmtId val="2"/>
  </c:pivotSource>
  <c:chart>
    <c:title>
      <c:tx>
        <c:rich>
          <a:bodyPr/>
          <a:lstStyle/>
          <a:p>
            <a:pPr>
              <a:defRPr/>
            </a:pPr>
            <a:r>
              <a:rPr lang="en-US" sz="1800" baseline="0">
                <a:solidFill>
                  <a:schemeClr val="accent5">
                    <a:lumMod val="50000"/>
                  </a:schemeClr>
                </a:solidFill>
              </a:rPr>
              <a:t>SALES BY MONTH</a:t>
            </a:r>
            <a:endParaRPr lang="en-US" sz="1800">
              <a:solidFill>
                <a:schemeClr val="accent5">
                  <a:lumMod val="50000"/>
                </a:schemeClr>
              </a:solidFill>
            </a:endParaRPr>
          </a:p>
        </c:rich>
      </c:tx>
      <c:layout>
        <c:manualLayout>
          <c:xMode val="edge"/>
          <c:yMode val="edge"/>
          <c:x val="0.30038336845739455"/>
          <c:y val="0.11550800477723643"/>
        </c:manualLayout>
      </c:layout>
      <c:overlay val="0"/>
      <c:spPr>
        <a:noFill/>
      </c:spPr>
    </c:title>
    <c:autoTitleDeleted val="0"/>
    <c:pivotFmts>
      <c:pivotFmt>
        <c:idx val="0"/>
        <c:marker>
          <c:symbol val="none"/>
        </c:marker>
      </c:pivotFmt>
      <c:pivotFmt>
        <c:idx val="1"/>
        <c:marker>
          <c:symbol val="none"/>
        </c:marker>
      </c:pivotFmt>
      <c:pivotFmt>
        <c:idx val="2"/>
        <c:spPr>
          <a:solidFill>
            <a:schemeClr val="accent5">
              <a:lumMod val="75000"/>
            </a:schemeClr>
          </a:solidFill>
          <a:effectLst>
            <a:outerShdw blurRad="50800" dist="38100" dir="2700000" algn="tl" rotWithShape="0">
              <a:prstClr val="black">
                <a:alpha val="40000"/>
              </a:prstClr>
            </a:outerShdw>
          </a:effectLst>
        </c:spPr>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2.9114283880315076E-2"/>
          <c:y val="0.16034770640046264"/>
          <c:w val="0.94177143223936988"/>
          <c:h val="0.7592726633312844"/>
        </c:manualLayout>
      </c:layout>
      <c:barChart>
        <c:barDir val="col"/>
        <c:grouping val="clustered"/>
        <c:varyColors val="0"/>
        <c:ser>
          <c:idx val="0"/>
          <c:order val="0"/>
          <c:tx>
            <c:strRef>
              <c:f>'Pivot Table'!$AE$3</c:f>
              <c:strCache>
                <c:ptCount val="1"/>
                <c:pt idx="0">
                  <c:v>Total</c:v>
                </c:pt>
              </c:strCache>
            </c:strRef>
          </c:tx>
          <c:spPr>
            <a:solidFill>
              <a:schemeClr val="accent5">
                <a:lumMod val="75000"/>
              </a:schemeClr>
            </a:solidFill>
            <a:effectLst>
              <a:outerShdw blurRad="50800" dist="38100" dir="2700000" algn="tl" rotWithShape="0">
                <a:prstClr val="black">
                  <a:alpha val="40000"/>
                </a:prstClr>
              </a:outerShdw>
            </a:effectLst>
          </c:spPr>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'Pivot Table'!$AD$4:$AD$10</c:f>
              <c:strCache>
                <c:ptCount val="6"/>
                <c:pt idx="0">
                  <c:v>January</c:v>
                </c:pt>
                <c:pt idx="1">
                  <c:v>February</c:v>
                </c:pt>
                <c:pt idx="2">
                  <c:v>March</c:v>
                </c:pt>
                <c:pt idx="3">
                  <c:v>April</c:v>
                </c:pt>
                <c:pt idx="4">
                  <c:v>May</c:v>
                </c:pt>
                <c:pt idx="5">
                  <c:v>June</c:v>
                </c:pt>
              </c:strCache>
            </c:strRef>
          </c:cat>
          <c:val>
            <c:numRef>
              <c:f>'Pivot Table'!$AE$4:$AE$10</c:f>
              <c:numCache>
                <c:formatCode>_([$$-409]* #,##0_);_([$$-409]* \(#,##0\);_([$$-409]* "-"??_);_(@_)</c:formatCode>
                <c:ptCount val="6"/>
                <c:pt idx="0">
                  <c:v>83700</c:v>
                </c:pt>
                <c:pt idx="1">
                  <c:v>15400</c:v>
                </c:pt>
                <c:pt idx="2">
                  <c:v>87700</c:v>
                </c:pt>
                <c:pt idx="3">
                  <c:v>100150</c:v>
                </c:pt>
                <c:pt idx="4">
                  <c:v>92750</c:v>
                </c:pt>
                <c:pt idx="5">
                  <c:v>56780</c:v>
                </c:pt>
              </c:numCache>
            </c:numRef>
          </c:val>
        </c:ser>
        <c:dLbls>
          <c:dLblPos val="outEnd"/>
          <c:showLegendKey val="0"/>
          <c:showVal val="1"/>
          <c:showCatName val="0"/>
          <c:showSerName val="0"/>
          <c:showPercent val="0"/>
          <c:showBubbleSize val="0"/>
        </c:dLbls>
        <c:gapWidth val="150"/>
        <c:axId val="143910016"/>
        <c:axId val="143937536"/>
      </c:barChart>
      <c:catAx>
        <c:axId val="143910016"/>
        <c:scaling>
          <c:orientation val="minMax"/>
        </c:scaling>
        <c:delete val="0"/>
        <c:axPos val="b"/>
        <c:majorTickMark val="out"/>
        <c:minorTickMark val="none"/>
        <c:tickLblPos val="nextTo"/>
        <c:crossAx val="143937536"/>
        <c:crosses val="autoZero"/>
        <c:auto val="1"/>
        <c:lblAlgn val="ctr"/>
        <c:lblOffset val="100"/>
        <c:noMultiLvlLbl val="0"/>
      </c:catAx>
      <c:valAx>
        <c:axId val="143937536"/>
        <c:scaling>
          <c:orientation val="minMax"/>
        </c:scaling>
        <c:delete val="1"/>
        <c:axPos val="l"/>
        <c:numFmt formatCode="_([$$-409]* #,##0_);_([$$-409]* \(#,##0\);_([$$-409]* &quot;-&quot;??_);_(@_)" sourceLinked="1"/>
        <c:majorTickMark val="out"/>
        <c:minorTickMark val="none"/>
        <c:tickLblPos val="nextTo"/>
        <c:crossAx val="14391001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11" Type="http://schemas.openxmlformats.org/officeDocument/2006/relationships/chart" Target="../charts/chart4.xml"/><Relationship Id="rId5" Type="http://schemas.openxmlformats.org/officeDocument/2006/relationships/image" Target="../media/image3.png"/><Relationship Id="rId10" Type="http://schemas.openxmlformats.org/officeDocument/2006/relationships/chart" Target="../charts/chart3.xml"/><Relationship Id="rId4" Type="http://schemas.microsoft.com/office/2007/relationships/hdphoto" Target="../media/hdphoto2.wdp"/><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6349</xdr:rowOff>
    </xdr:from>
    <xdr:to>
      <xdr:col>22</xdr:col>
      <xdr:colOff>311150</xdr:colOff>
      <xdr:row>55</xdr:row>
      <xdr:rowOff>23811</xdr:rowOff>
    </xdr:to>
    <xdr:sp macro="" textlink="">
      <xdr:nvSpPr>
        <xdr:cNvPr id="6" name="Rectangle 5"/>
        <xdr:cNvSpPr/>
      </xdr:nvSpPr>
      <xdr:spPr>
        <a:xfrm>
          <a:off x="6350" y="6349"/>
          <a:ext cx="13750925" cy="10058400"/>
        </a:xfrm>
        <a:prstGeom prst="rect">
          <a:avLst/>
        </a:prstGeom>
        <a:solidFill>
          <a:schemeClr val="accent5">
            <a:lumMod val="20000"/>
            <a:lumOff val="80000"/>
          </a:schemeClr>
        </a:solidFill>
        <a:ln>
          <a:no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107950</xdr:colOff>
      <xdr:row>0</xdr:row>
      <xdr:rowOff>57150</xdr:rowOff>
    </xdr:from>
    <xdr:to>
      <xdr:col>3</xdr:col>
      <xdr:colOff>558800</xdr:colOff>
      <xdr:row>8</xdr:row>
      <xdr:rowOff>44450</xdr:rowOff>
    </xdr:to>
    <xdr:sp macro="" textlink="">
      <xdr:nvSpPr>
        <xdr:cNvPr id="8" name="Rounded Rectangle 7"/>
        <xdr:cNvSpPr/>
      </xdr:nvSpPr>
      <xdr:spPr>
        <a:xfrm>
          <a:off x="107950" y="57150"/>
          <a:ext cx="2279650" cy="1460500"/>
        </a:xfrm>
        <a:prstGeom prst="roundRect">
          <a:avLst/>
        </a:prstGeom>
        <a:gradFill flip="none" rotWithShape="1">
          <a:gsLst>
            <a:gs pos="42000">
              <a:schemeClr val="accent5">
                <a:lumMod val="75000"/>
              </a:schemeClr>
            </a:gs>
            <a:gs pos="100000">
              <a:schemeClr val="accent1">
                <a:tint val="23500"/>
                <a:satMod val="160000"/>
              </a:schemeClr>
            </a:gs>
          </a:gsLst>
          <a:lin ang="5400000" scaled="0"/>
          <a:tileRect/>
        </a:gra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146049</xdr:colOff>
      <xdr:row>0</xdr:row>
      <xdr:rowOff>57150</xdr:rowOff>
    </xdr:from>
    <xdr:to>
      <xdr:col>22</xdr:col>
      <xdr:colOff>134937</xdr:colOff>
      <xdr:row>8</xdr:row>
      <xdr:rowOff>44450</xdr:rowOff>
    </xdr:to>
    <xdr:sp macro="" textlink="">
      <xdr:nvSpPr>
        <xdr:cNvPr id="9" name="Rounded Rectangle 8"/>
        <xdr:cNvSpPr/>
      </xdr:nvSpPr>
      <xdr:spPr>
        <a:xfrm>
          <a:off x="2590799" y="57150"/>
          <a:ext cx="10990263" cy="1447800"/>
        </a:xfrm>
        <a:prstGeom prst="roundRect">
          <a:avLst/>
        </a:prstGeom>
        <a:gradFill flip="none" rotWithShape="1">
          <a:gsLst>
            <a:gs pos="42000">
              <a:schemeClr val="accent5">
                <a:lumMod val="75000"/>
              </a:schemeClr>
            </a:gs>
            <a:gs pos="100000">
              <a:schemeClr val="accent1">
                <a:tint val="23500"/>
                <a:satMod val="160000"/>
              </a:schemeClr>
            </a:gs>
          </a:gsLst>
          <a:lin ang="5400000" scaled="0"/>
          <a:tileRect/>
        </a:gra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93663</xdr:colOff>
      <xdr:row>8</xdr:row>
      <xdr:rowOff>165100</xdr:rowOff>
    </xdr:from>
    <xdr:to>
      <xdr:col>3</xdr:col>
      <xdr:colOff>544513</xdr:colOff>
      <xdr:row>54</xdr:row>
      <xdr:rowOff>23813</xdr:rowOff>
    </xdr:to>
    <xdr:sp macro="" textlink="">
      <xdr:nvSpPr>
        <xdr:cNvPr id="11" name="Rounded Rectangle 10"/>
        <xdr:cNvSpPr/>
      </xdr:nvSpPr>
      <xdr:spPr>
        <a:xfrm>
          <a:off x="93663" y="1625600"/>
          <a:ext cx="2284413" cy="8256588"/>
        </a:xfrm>
        <a:prstGeom prst="roundRect">
          <a:avLst/>
        </a:prstGeom>
        <a:gradFill flip="none" rotWithShape="1">
          <a:gsLst>
            <a:gs pos="42000">
              <a:schemeClr val="accent5">
                <a:lumMod val="75000"/>
              </a:schemeClr>
            </a:gs>
            <a:gs pos="100000">
              <a:schemeClr val="accent1">
                <a:tint val="23500"/>
                <a:satMod val="160000"/>
              </a:schemeClr>
            </a:gs>
          </a:gsLst>
          <a:lin ang="5400000" scaled="0"/>
          <a:tileRect/>
        </a:gradFill>
        <a:ln>
          <a:noFill/>
        </a:ln>
        <a:effectLst>
          <a:outerShdw blurRad="50800" dist="38100" dir="2700000" algn="tl" rotWithShape="0">
            <a:prstClr val="black">
              <a:alpha val="40000"/>
            </a:prstClr>
          </a:outerShdw>
        </a:effectLst>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174624</xdr:colOff>
      <xdr:row>9</xdr:row>
      <xdr:rowOff>95249</xdr:rowOff>
    </xdr:from>
    <xdr:to>
      <xdr:col>8</xdr:col>
      <xdr:colOff>468313</xdr:colOff>
      <xdr:row>16</xdr:row>
      <xdr:rowOff>23813</xdr:rowOff>
    </xdr:to>
    <xdr:sp macro="" textlink="">
      <xdr:nvSpPr>
        <xdr:cNvPr id="12" name="Rounded Rectangle 11"/>
        <xdr:cNvSpPr/>
      </xdr:nvSpPr>
      <xdr:spPr>
        <a:xfrm>
          <a:off x="2619374" y="1738312"/>
          <a:ext cx="2738439" cy="1206501"/>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22225</xdr:colOff>
      <xdr:row>9</xdr:row>
      <xdr:rowOff>69849</xdr:rowOff>
    </xdr:from>
    <xdr:to>
      <xdr:col>13</xdr:col>
      <xdr:colOff>315914</xdr:colOff>
      <xdr:row>15</xdr:row>
      <xdr:rowOff>180975</xdr:rowOff>
    </xdr:to>
    <xdr:sp macro="" textlink="">
      <xdr:nvSpPr>
        <xdr:cNvPr id="13" name="Rounded Rectangle 12"/>
        <xdr:cNvSpPr/>
      </xdr:nvSpPr>
      <xdr:spPr>
        <a:xfrm>
          <a:off x="5522913" y="1712912"/>
          <a:ext cx="2738439" cy="1206501"/>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149226</xdr:colOff>
      <xdr:row>16</xdr:row>
      <xdr:rowOff>109535</xdr:rowOff>
    </xdr:from>
    <xdr:to>
      <xdr:col>13</xdr:col>
      <xdr:colOff>373063</xdr:colOff>
      <xdr:row>32</xdr:row>
      <xdr:rowOff>7936</xdr:rowOff>
    </xdr:to>
    <xdr:sp macro="" textlink="">
      <xdr:nvSpPr>
        <xdr:cNvPr id="15" name="Rounded Rectangle 14"/>
        <xdr:cNvSpPr/>
      </xdr:nvSpPr>
      <xdr:spPr>
        <a:xfrm>
          <a:off x="2593976" y="3030535"/>
          <a:ext cx="5724525" cy="2819401"/>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165100</xdr:colOff>
      <xdr:row>32</xdr:row>
      <xdr:rowOff>117475</xdr:rowOff>
    </xdr:from>
    <xdr:to>
      <xdr:col>13</xdr:col>
      <xdr:colOff>388937</xdr:colOff>
      <xdr:row>54</xdr:row>
      <xdr:rowOff>0</xdr:rowOff>
    </xdr:to>
    <xdr:sp macro="" textlink="">
      <xdr:nvSpPr>
        <xdr:cNvPr id="16" name="Rounded Rectangle 15"/>
        <xdr:cNvSpPr/>
      </xdr:nvSpPr>
      <xdr:spPr>
        <a:xfrm>
          <a:off x="2609850" y="5959475"/>
          <a:ext cx="5724525" cy="3898900"/>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546101</xdr:colOff>
      <xdr:row>9</xdr:row>
      <xdr:rowOff>6349</xdr:rowOff>
    </xdr:from>
    <xdr:to>
      <xdr:col>18</xdr:col>
      <xdr:colOff>603252</xdr:colOff>
      <xdr:row>32</xdr:row>
      <xdr:rowOff>15875</xdr:rowOff>
    </xdr:to>
    <xdr:sp macro="" textlink="">
      <xdr:nvSpPr>
        <xdr:cNvPr id="17" name="Rounded Rectangle 16"/>
        <xdr:cNvSpPr/>
      </xdr:nvSpPr>
      <xdr:spPr>
        <a:xfrm>
          <a:off x="8491539" y="1649412"/>
          <a:ext cx="3113088" cy="4208463"/>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554037</xdr:colOff>
      <xdr:row>32</xdr:row>
      <xdr:rowOff>125412</xdr:rowOff>
    </xdr:from>
    <xdr:to>
      <xdr:col>22</xdr:col>
      <xdr:colOff>119063</xdr:colOff>
      <xdr:row>53</xdr:row>
      <xdr:rowOff>166687</xdr:rowOff>
    </xdr:to>
    <xdr:sp macro="" textlink="">
      <xdr:nvSpPr>
        <xdr:cNvPr id="18" name="Rounded Rectangle 17"/>
        <xdr:cNvSpPr/>
      </xdr:nvSpPr>
      <xdr:spPr>
        <a:xfrm>
          <a:off x="8499475" y="5967412"/>
          <a:ext cx="5065713" cy="3875088"/>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117475</xdr:colOff>
      <xdr:row>9</xdr:row>
      <xdr:rowOff>46037</xdr:rowOff>
    </xdr:from>
    <xdr:to>
      <xdr:col>22</xdr:col>
      <xdr:colOff>134938</xdr:colOff>
      <xdr:row>19</xdr:row>
      <xdr:rowOff>158750</xdr:rowOff>
    </xdr:to>
    <xdr:sp macro="" textlink="">
      <xdr:nvSpPr>
        <xdr:cNvPr id="19" name="Rounded Rectangle 18"/>
        <xdr:cNvSpPr/>
      </xdr:nvSpPr>
      <xdr:spPr>
        <a:xfrm>
          <a:off x="11730038" y="1689100"/>
          <a:ext cx="1851025" cy="1938338"/>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157162</xdr:colOff>
      <xdr:row>20</xdr:row>
      <xdr:rowOff>141286</xdr:rowOff>
    </xdr:from>
    <xdr:to>
      <xdr:col>22</xdr:col>
      <xdr:colOff>174625</xdr:colOff>
      <xdr:row>31</xdr:row>
      <xdr:rowOff>126999</xdr:rowOff>
    </xdr:to>
    <xdr:sp macro="" textlink="">
      <xdr:nvSpPr>
        <xdr:cNvPr id="20" name="Rounded Rectangle 19"/>
        <xdr:cNvSpPr/>
      </xdr:nvSpPr>
      <xdr:spPr>
        <a:xfrm>
          <a:off x="11769725" y="3792536"/>
          <a:ext cx="1851025" cy="1993901"/>
        </a:xfrm>
        <a:prstGeom prst="roundRect">
          <a:avLst/>
        </a:prstGeom>
        <a:gradFill flip="none" rotWithShape="1">
          <a:gsLst>
            <a:gs pos="0">
              <a:schemeClr val="accent5">
                <a:tint val="66000"/>
                <a:satMod val="160000"/>
              </a:schemeClr>
            </a:gs>
            <a:gs pos="50000">
              <a:schemeClr val="accent5">
                <a:tint val="44500"/>
                <a:satMod val="160000"/>
              </a:schemeClr>
            </a:gs>
            <a:gs pos="100000">
              <a:schemeClr val="accent5">
                <a:tint val="23500"/>
                <a:satMod val="160000"/>
              </a:schemeClr>
            </a:gs>
          </a:gsLst>
          <a:lin ang="13500000" scaled="1"/>
          <a:tileRect/>
        </a:gradFill>
        <a:ln>
          <a:solidFill>
            <a:schemeClr val="accent5">
              <a:lumMod val="40000"/>
              <a:lumOff val="60000"/>
            </a:schemeClr>
          </a:solidFill>
        </a:ln>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142875</xdr:colOff>
      <xdr:row>1</xdr:row>
      <xdr:rowOff>103187</xdr:rowOff>
    </xdr:from>
    <xdr:to>
      <xdr:col>17</xdr:col>
      <xdr:colOff>150812</xdr:colOff>
      <xdr:row>6</xdr:row>
      <xdr:rowOff>158750</xdr:rowOff>
    </xdr:to>
    <xdr:sp macro="" textlink="">
      <xdr:nvSpPr>
        <xdr:cNvPr id="23" name="TextBox 22"/>
        <xdr:cNvSpPr txBox="1"/>
      </xdr:nvSpPr>
      <xdr:spPr>
        <a:xfrm>
          <a:off x="3810000" y="285750"/>
          <a:ext cx="6731000" cy="96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indent="0" algn="ctr" defTabSz="914400" eaLnBrk="1" fontAlgn="auto" latinLnBrk="0" hangingPunct="1">
            <a:lnSpc>
              <a:spcPct val="100000"/>
            </a:lnSpc>
            <a:spcBef>
              <a:spcPts val="0"/>
            </a:spcBef>
            <a:spcAft>
              <a:spcPts val="0"/>
            </a:spcAft>
            <a:buClrTx/>
            <a:buSzTx/>
            <a:buFontTx/>
            <a:buNone/>
            <a:tabLst/>
            <a:defRPr/>
          </a:pPr>
          <a:r>
            <a:rPr lang="en-US" sz="3600" b="1">
              <a:solidFill>
                <a:schemeClr val="bg1"/>
              </a:solidFill>
              <a:effectLst/>
              <a:latin typeface="+mn-lt"/>
              <a:ea typeface="+mn-ea"/>
              <a:cs typeface="+mn-cs"/>
            </a:rPr>
            <a:t>SALES</a:t>
          </a:r>
          <a:r>
            <a:rPr lang="en-US" sz="3600" b="1" baseline="0">
              <a:solidFill>
                <a:schemeClr val="bg1"/>
              </a:solidFill>
              <a:effectLst/>
              <a:latin typeface="+mn-lt"/>
              <a:ea typeface="+mn-ea"/>
              <a:cs typeface="+mn-cs"/>
            </a:rPr>
            <a:t> AND PROFIT </a:t>
          </a:r>
          <a:r>
            <a:rPr lang="en-US" sz="4000" b="1" baseline="0">
              <a:solidFill>
                <a:schemeClr val="bg1"/>
              </a:solidFill>
              <a:effectLst/>
              <a:latin typeface="+mn-lt"/>
              <a:ea typeface="+mn-ea"/>
              <a:cs typeface="+mn-cs"/>
            </a:rPr>
            <a:t>DASHBOARD</a:t>
          </a:r>
          <a:endParaRPr lang="en-US" sz="3600" b="1">
            <a:solidFill>
              <a:schemeClr val="bg1"/>
            </a:solidFill>
            <a:effectLst/>
          </a:endParaRPr>
        </a:p>
      </xdr:txBody>
    </xdr:sp>
    <xdr:clientData/>
  </xdr:twoCellAnchor>
  <xdr:twoCellAnchor editAs="oneCell">
    <xdr:from>
      <xdr:col>4</xdr:col>
      <xdr:colOff>142875</xdr:colOff>
      <xdr:row>0</xdr:row>
      <xdr:rowOff>20638</xdr:rowOff>
    </xdr:from>
    <xdr:to>
      <xdr:col>6</xdr:col>
      <xdr:colOff>309562</xdr:colOff>
      <xdr:row>7</xdr:row>
      <xdr:rowOff>131762</xdr:rowOff>
    </xdr:to>
    <xdr:pic>
      <xdr:nvPicPr>
        <xdr:cNvPr id="25" name="Picture 24"/>
        <xdr:cNvPicPr>
          <a:picLocks noChangeAspect="1"/>
        </xdr:cNvPicPr>
      </xdr:nvPicPr>
      <xdr:blipFill>
        <a:blip xmlns:r="http://schemas.openxmlformats.org/officeDocument/2006/relationships" r:embed="rId1">
          <a:lum bright="70000" contrast="-70000"/>
          <a:extLst>
            <a:ext uri="{BEBA8EAE-BF5A-486C-A8C5-ECC9F3942E4B}">
              <a14:imgProps xmlns:a14="http://schemas.microsoft.com/office/drawing/2010/main">
                <a14:imgLayer r:embed="rId2">
                  <a14:imgEffect>
                    <a14:backgroundRemoval t="10000" b="90000" l="10000" r="90000"/>
                  </a14:imgEffect>
                </a14:imgLayer>
              </a14:imgProps>
            </a:ext>
          </a:extLst>
        </a:blip>
        <a:stretch>
          <a:fillRect/>
        </a:stretch>
      </xdr:blipFill>
      <xdr:spPr>
        <a:xfrm>
          <a:off x="2587625" y="20638"/>
          <a:ext cx="1389062" cy="1389062"/>
        </a:xfrm>
        <a:prstGeom prst="rect">
          <a:avLst/>
        </a:prstGeom>
      </xdr:spPr>
    </xdr:pic>
    <xdr:clientData/>
  </xdr:twoCellAnchor>
  <xdr:twoCellAnchor>
    <xdr:from>
      <xdr:col>5</xdr:col>
      <xdr:colOff>492124</xdr:colOff>
      <xdr:row>10</xdr:row>
      <xdr:rowOff>103188</xdr:rowOff>
    </xdr:from>
    <xdr:to>
      <xdr:col>8</xdr:col>
      <xdr:colOff>285750</xdr:colOff>
      <xdr:row>12</xdr:row>
      <xdr:rowOff>150813</xdr:rowOff>
    </xdr:to>
    <xdr:sp macro="" textlink="">
      <xdr:nvSpPr>
        <xdr:cNvPr id="28" name="TextBox 27"/>
        <xdr:cNvSpPr txBox="1"/>
      </xdr:nvSpPr>
      <xdr:spPr>
        <a:xfrm>
          <a:off x="3548062" y="1928813"/>
          <a:ext cx="1627188"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i="0">
              <a:solidFill>
                <a:schemeClr val="accent5">
                  <a:lumMod val="50000"/>
                </a:schemeClr>
              </a:solidFill>
            </a:rPr>
            <a:t>TOTAL</a:t>
          </a:r>
          <a:r>
            <a:rPr lang="en-US" sz="2000" b="1" i="0" baseline="0">
              <a:solidFill>
                <a:schemeClr val="accent5">
                  <a:lumMod val="50000"/>
                </a:schemeClr>
              </a:solidFill>
            </a:rPr>
            <a:t> SALES</a:t>
          </a:r>
          <a:endParaRPr lang="en-US" sz="2000" b="1" i="0">
            <a:solidFill>
              <a:schemeClr val="accent5">
                <a:lumMod val="50000"/>
              </a:schemeClr>
            </a:solidFill>
          </a:endParaRPr>
        </a:p>
      </xdr:txBody>
    </xdr:sp>
    <xdr:clientData/>
  </xdr:twoCellAnchor>
  <xdr:twoCellAnchor editAs="oneCell">
    <xdr:from>
      <xdr:col>2</xdr:col>
      <xdr:colOff>611186</xdr:colOff>
      <xdr:row>8</xdr:row>
      <xdr:rowOff>95249</xdr:rowOff>
    </xdr:from>
    <xdr:to>
      <xdr:col>7</xdr:col>
      <xdr:colOff>230188</xdr:colOff>
      <xdr:row>18</xdr:row>
      <xdr:rowOff>49675</xdr:rowOff>
    </xdr:to>
    <xdr:pic>
      <xdr:nvPicPr>
        <xdr:cNvPr id="29" name="Picture 28"/>
        <xdr:cNvPicPr>
          <a:picLocks noChangeAspect="1"/>
        </xdr:cNvPicPr>
      </xdr:nvPicPr>
      <xdr:blipFill>
        <a:blip xmlns:r="http://schemas.openxmlformats.org/officeDocument/2006/relationships" r:embed="rId3">
          <a:duotone>
            <a:schemeClr val="accent5">
              <a:shade val="45000"/>
              <a:satMod val="135000"/>
            </a:schemeClr>
            <a:prstClr val="white"/>
          </a:duotone>
          <a:extLst>
            <a:ext uri="{BEBA8EAE-BF5A-486C-A8C5-ECC9F3942E4B}">
              <a14:imgProps xmlns:a14="http://schemas.microsoft.com/office/drawing/2010/main">
                <a14:imgLayer r:embed="rId4">
                  <a14:imgEffect>
                    <a14:backgroundRemoval t="10000" b="90000" l="10000" r="90000">
                      <a14:foregroundMark x1="45455" y1="57377" x2="45455" y2="57377"/>
                      <a14:foregroundMark x1="39636" y1="60656" x2="39636" y2="60656"/>
                      <a14:foregroundMark x1="58545" y1="48634" x2="58545" y2="48634"/>
                      <a14:foregroundMark x1="41818" y1="67213" x2="41818" y2="67213"/>
                    </a14:backgroundRemoval>
                  </a14:imgEffect>
                </a14:imgLayer>
              </a14:imgProps>
            </a:ext>
          </a:extLst>
        </a:blip>
        <a:stretch>
          <a:fillRect/>
        </a:stretch>
      </xdr:blipFill>
      <xdr:spPr>
        <a:xfrm>
          <a:off x="1833561" y="1555749"/>
          <a:ext cx="2674940" cy="1780051"/>
        </a:xfrm>
        <a:prstGeom prst="rect">
          <a:avLst/>
        </a:prstGeom>
      </xdr:spPr>
    </xdr:pic>
    <xdr:clientData/>
  </xdr:twoCellAnchor>
  <xdr:twoCellAnchor>
    <xdr:from>
      <xdr:col>10</xdr:col>
      <xdr:colOff>349250</xdr:colOff>
      <xdr:row>10</xdr:row>
      <xdr:rowOff>95250</xdr:rowOff>
    </xdr:from>
    <xdr:to>
      <xdr:col>13</xdr:col>
      <xdr:colOff>404812</xdr:colOff>
      <xdr:row>12</xdr:row>
      <xdr:rowOff>111125</xdr:rowOff>
    </xdr:to>
    <xdr:sp macro="" textlink="">
      <xdr:nvSpPr>
        <xdr:cNvPr id="31" name="TextBox 30"/>
        <xdr:cNvSpPr txBox="1"/>
      </xdr:nvSpPr>
      <xdr:spPr>
        <a:xfrm>
          <a:off x="6461125" y="1920875"/>
          <a:ext cx="18891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5">
                  <a:lumMod val="50000"/>
                </a:schemeClr>
              </a:solidFill>
            </a:rPr>
            <a:t>TOTAL PROFIT</a:t>
          </a:r>
        </a:p>
      </xdr:txBody>
    </xdr:sp>
    <xdr:clientData/>
  </xdr:twoCellAnchor>
  <xdr:twoCellAnchor editAs="oneCell">
    <xdr:from>
      <xdr:col>8</xdr:col>
      <xdr:colOff>547688</xdr:colOff>
      <xdr:row>9</xdr:row>
      <xdr:rowOff>166688</xdr:rowOff>
    </xdr:from>
    <xdr:to>
      <xdr:col>10</xdr:col>
      <xdr:colOff>523875</xdr:colOff>
      <xdr:row>16</xdr:row>
      <xdr:rowOff>87313</xdr:rowOff>
    </xdr:to>
    <xdr:pic>
      <xdr:nvPicPr>
        <xdr:cNvPr id="32" name="Picture 31"/>
        <xdr:cNvPicPr>
          <a:picLocks noChangeAspect="1"/>
        </xdr:cNvPicPr>
      </xdr:nvPicPr>
      <xdr:blipFill>
        <a:blip xmlns:r="http://schemas.openxmlformats.org/officeDocument/2006/relationships" r:embed="rId5">
          <a:duotone>
            <a:schemeClr val="accent5">
              <a:shade val="45000"/>
              <a:satMod val="135000"/>
            </a:schemeClr>
            <a:prstClr val="white"/>
          </a:duotone>
          <a:extLst>
            <a:ext uri="{BEBA8EAE-BF5A-486C-A8C5-ECC9F3942E4B}">
              <a14:imgProps xmlns:a14="http://schemas.microsoft.com/office/drawing/2010/main">
                <a14:imgLayer r:embed="rId6">
                  <a14:imgEffect>
                    <a14:backgroundRemoval t="10000" b="90000" l="10000" r="90000">
                      <a14:foregroundMark x1="66222" y1="40444" x2="66222" y2="40444"/>
                      <a14:foregroundMark x1="80000" y1="40000" x2="80000" y2="40000"/>
                      <a14:foregroundMark x1="71556" y1="25778" x2="71556" y2="25778"/>
                      <a14:foregroundMark x1="48444" y1="44000" x2="48444" y2="44000"/>
                      <a14:foregroundMark x1="52889" y1="42667" x2="52889" y2="42667"/>
                      <a14:foregroundMark x1="28444" y1="72444" x2="28444" y2="72444"/>
                    </a14:backgroundRemoval>
                  </a14:imgEffect>
                </a14:imgLayer>
              </a14:imgProps>
            </a:ext>
          </a:extLst>
        </a:blip>
        <a:stretch>
          <a:fillRect/>
        </a:stretch>
      </xdr:blipFill>
      <xdr:spPr>
        <a:xfrm>
          <a:off x="5437188" y="1809751"/>
          <a:ext cx="1198562" cy="1198562"/>
        </a:xfrm>
        <a:prstGeom prst="rect">
          <a:avLst/>
        </a:prstGeom>
      </xdr:spPr>
    </xdr:pic>
    <xdr:clientData/>
  </xdr:twoCellAnchor>
  <xdr:oneCellAnchor>
    <xdr:from>
      <xdr:col>5</xdr:col>
      <xdr:colOff>444500</xdr:colOff>
      <xdr:row>12</xdr:row>
      <xdr:rowOff>79375</xdr:rowOff>
    </xdr:from>
    <xdr:ext cx="1276503" cy="405432"/>
    <xdr:sp macro="" textlink="'Pivot Table'!A9">
      <xdr:nvSpPr>
        <xdr:cNvPr id="34" name="TextBox 33"/>
        <xdr:cNvSpPr txBox="1"/>
      </xdr:nvSpPr>
      <xdr:spPr>
        <a:xfrm>
          <a:off x="3500438" y="2270125"/>
          <a:ext cx="127650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349B8F7-1CEF-4FF2-88A8-9ACA03CD028E}" type="TxLink">
            <a:rPr lang="en-US" sz="2000" b="1">
              <a:solidFill>
                <a:schemeClr val="accent5">
                  <a:lumMod val="50000"/>
                </a:schemeClr>
              </a:solidFill>
            </a:rPr>
            <a:pPr/>
            <a:t> $436,480 </a:t>
          </a:fld>
          <a:endParaRPr lang="en-US" sz="2000" b="1">
            <a:solidFill>
              <a:schemeClr val="accent5">
                <a:lumMod val="50000"/>
              </a:schemeClr>
            </a:solidFill>
          </a:endParaRPr>
        </a:p>
      </xdr:txBody>
    </xdr:sp>
    <xdr:clientData/>
  </xdr:oneCellAnchor>
  <xdr:twoCellAnchor>
    <xdr:from>
      <xdr:col>10</xdr:col>
      <xdr:colOff>293686</xdr:colOff>
      <xdr:row>12</xdr:row>
      <xdr:rowOff>79375</xdr:rowOff>
    </xdr:from>
    <xdr:to>
      <xdr:col>12</xdr:col>
      <xdr:colOff>381000</xdr:colOff>
      <xdr:row>14</xdr:row>
      <xdr:rowOff>95250</xdr:rowOff>
    </xdr:to>
    <xdr:sp macro="" textlink="'Pivot Table'!A10">
      <xdr:nvSpPr>
        <xdr:cNvPr id="35" name="TextBox 34"/>
        <xdr:cNvSpPr txBox="1"/>
      </xdr:nvSpPr>
      <xdr:spPr>
        <a:xfrm>
          <a:off x="6405561" y="2270125"/>
          <a:ext cx="1309689"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3FA04E-F52E-4591-BB86-715D25D0323C}" type="TxLink">
            <a:rPr lang="en-US" sz="2000" b="1">
              <a:solidFill>
                <a:schemeClr val="accent5">
                  <a:lumMod val="50000"/>
                </a:schemeClr>
              </a:solidFill>
            </a:rPr>
            <a:pPr/>
            <a:t> $46,550 </a:t>
          </a:fld>
          <a:endParaRPr lang="en-US" sz="2000" b="1">
            <a:solidFill>
              <a:schemeClr val="accent5">
                <a:lumMod val="50000"/>
              </a:schemeClr>
            </a:solidFill>
          </a:endParaRPr>
        </a:p>
      </xdr:txBody>
    </xdr:sp>
    <xdr:clientData/>
  </xdr:twoCellAnchor>
  <xdr:twoCellAnchor editAs="oneCell">
    <xdr:from>
      <xdr:col>0</xdr:col>
      <xdr:colOff>301625</xdr:colOff>
      <xdr:row>0</xdr:row>
      <xdr:rowOff>0</xdr:rowOff>
    </xdr:from>
    <xdr:to>
      <xdr:col>3</xdr:col>
      <xdr:colOff>373062</xdr:colOff>
      <xdr:row>7</xdr:row>
      <xdr:rowOff>111125</xdr:rowOff>
    </xdr:to>
    <xdr:pic>
      <xdr:nvPicPr>
        <xdr:cNvPr id="37" name="Picture 36" descr="33 Fake Logos ideas | logos, ? logo, corporate logo"/>
        <xdr:cNvPicPr>
          <a:picLocks noChangeAspect="1" noChangeArrowheads="1"/>
        </xdr:cNvPicPr>
      </xdr:nvPicPr>
      <xdr:blipFill rotWithShape="1">
        <a:blip xmlns:r="http://schemas.openxmlformats.org/officeDocument/2006/relationships" r:embed="rId7">
          <a:duotone>
            <a:schemeClr val="accent5">
              <a:shade val="45000"/>
              <a:satMod val="135000"/>
            </a:schemeClr>
            <a:prstClr val="white"/>
          </a:duotone>
          <a:extLst>
            <a:ext uri="{28A0092B-C50C-407E-A947-70E740481C1C}">
              <a14:useLocalDpi xmlns:a14="http://schemas.microsoft.com/office/drawing/2010/main" val="0"/>
            </a:ext>
          </a:extLst>
        </a:blip>
        <a:srcRect b="26307"/>
        <a:stretch/>
      </xdr:blipFill>
      <xdr:spPr bwMode="auto">
        <a:xfrm>
          <a:off x="301625" y="0"/>
          <a:ext cx="1905000" cy="13890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601664</xdr:colOff>
      <xdr:row>16</xdr:row>
      <xdr:rowOff>149222</xdr:rowOff>
    </xdr:from>
    <xdr:to>
      <xdr:col>13</xdr:col>
      <xdr:colOff>31750</xdr:colOff>
      <xdr:row>32</xdr:row>
      <xdr:rowOff>39688</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7</xdr:col>
      <xdr:colOff>236701</xdr:colOff>
      <xdr:row>16</xdr:row>
      <xdr:rowOff>134707</xdr:rowOff>
    </xdr:from>
    <xdr:ext cx="1731371" cy="374141"/>
    <xdr:sp macro="" textlink="">
      <xdr:nvSpPr>
        <xdr:cNvPr id="39" name="TextBox 38"/>
        <xdr:cNvSpPr txBox="1"/>
      </xdr:nvSpPr>
      <xdr:spPr>
        <a:xfrm>
          <a:off x="4515014" y="3055707"/>
          <a:ext cx="173137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800" b="1">
              <a:solidFill>
                <a:schemeClr val="accent5">
                  <a:lumMod val="50000"/>
                </a:schemeClr>
              </a:solidFill>
            </a:rPr>
            <a:t>PROFIT</a:t>
          </a:r>
          <a:r>
            <a:rPr lang="en-US" sz="1800" b="1" baseline="0">
              <a:solidFill>
                <a:schemeClr val="accent5">
                  <a:lumMod val="50000"/>
                </a:schemeClr>
              </a:solidFill>
            </a:rPr>
            <a:t> BY YEAR</a:t>
          </a:r>
          <a:endParaRPr lang="en-US" sz="1800" b="1">
            <a:solidFill>
              <a:schemeClr val="accent5">
                <a:lumMod val="50000"/>
              </a:schemeClr>
            </a:solidFill>
          </a:endParaRPr>
        </a:p>
      </xdr:txBody>
    </xdr:sp>
    <xdr:clientData/>
  </xdr:oneCellAnchor>
  <xdr:twoCellAnchor>
    <xdr:from>
      <xdr:col>14</xdr:col>
      <xdr:colOff>69851</xdr:colOff>
      <xdr:row>10</xdr:row>
      <xdr:rowOff>75142</xdr:rowOff>
    </xdr:from>
    <xdr:to>
      <xdr:col>18</xdr:col>
      <xdr:colOff>436562</xdr:colOff>
      <xdr:row>30</xdr:row>
      <xdr:rowOff>140230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569912</xdr:colOff>
      <xdr:row>9</xdr:row>
      <xdr:rowOff>125411</xdr:rowOff>
    </xdr:from>
    <xdr:to>
      <xdr:col>22</xdr:col>
      <xdr:colOff>174625</xdr:colOff>
      <xdr:row>20</xdr:row>
      <xdr:rowOff>63501</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196849</xdr:colOff>
      <xdr:row>33</xdr:row>
      <xdr:rowOff>53974</xdr:rowOff>
    </xdr:from>
    <xdr:to>
      <xdr:col>14</xdr:col>
      <xdr:colOff>238125</xdr:colOff>
      <xdr:row>52</xdr:row>
      <xdr:rowOff>150813</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166688</xdr:colOff>
      <xdr:row>20</xdr:row>
      <xdr:rowOff>174625</xdr:rowOff>
    </xdr:from>
    <xdr:to>
      <xdr:col>22</xdr:col>
      <xdr:colOff>381001</xdr:colOff>
      <xdr:row>32</xdr:row>
      <xdr:rowOff>111126</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20</xdr:col>
      <xdr:colOff>563563</xdr:colOff>
      <xdr:row>26</xdr:row>
      <xdr:rowOff>15875</xdr:rowOff>
    </xdr:from>
    <xdr:ext cx="574003" cy="264560"/>
    <xdr:sp macro="" textlink="">
      <xdr:nvSpPr>
        <xdr:cNvPr id="2" name="TextBox 1"/>
        <xdr:cNvSpPr txBox="1"/>
      </xdr:nvSpPr>
      <xdr:spPr>
        <a:xfrm>
          <a:off x="12787313" y="4762500"/>
          <a:ext cx="5740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$ 4800</a:t>
          </a:r>
        </a:p>
      </xdr:txBody>
    </xdr:sp>
    <xdr:clientData/>
  </xdr:oneCellAnchor>
  <xdr:oneCellAnchor>
    <xdr:from>
      <xdr:col>20</xdr:col>
      <xdr:colOff>468312</xdr:colOff>
      <xdr:row>29</xdr:row>
      <xdr:rowOff>95250</xdr:rowOff>
    </xdr:from>
    <xdr:ext cx="574003" cy="264560"/>
    <xdr:sp macro="" textlink="">
      <xdr:nvSpPr>
        <xdr:cNvPr id="3" name="TextBox 2"/>
        <xdr:cNvSpPr txBox="1"/>
      </xdr:nvSpPr>
      <xdr:spPr>
        <a:xfrm>
          <a:off x="12692062" y="5389563"/>
          <a:ext cx="57400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$ 3000</a:t>
          </a:r>
        </a:p>
      </xdr:txBody>
    </xdr:sp>
    <xdr:clientData/>
  </xdr:oneCellAnchor>
  <xdr:oneCellAnchor>
    <xdr:from>
      <xdr:col>19</xdr:col>
      <xdr:colOff>221493</xdr:colOff>
      <xdr:row>21</xdr:row>
      <xdr:rowOff>13230</xdr:rowOff>
    </xdr:from>
    <xdr:ext cx="1751120" cy="264560"/>
    <xdr:sp macro="" textlink="">
      <xdr:nvSpPr>
        <xdr:cNvPr id="4" name="TextBox 3"/>
        <xdr:cNvSpPr txBox="1"/>
      </xdr:nvSpPr>
      <xdr:spPr>
        <a:xfrm>
          <a:off x="11769422" y="3823230"/>
          <a:ext cx="17511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accent5">
                  <a:lumMod val="50000"/>
                </a:schemeClr>
              </a:solidFill>
            </a:rPr>
            <a:t>TOP</a:t>
          </a:r>
          <a:r>
            <a:rPr lang="en-US" sz="1100" b="1" baseline="0">
              <a:solidFill>
                <a:schemeClr val="accent5">
                  <a:lumMod val="50000"/>
                </a:schemeClr>
              </a:solidFill>
            </a:rPr>
            <a:t> 5 CUSTOMERS PROFIT</a:t>
          </a:r>
          <a:endParaRPr lang="en-US" sz="1100" b="1">
            <a:solidFill>
              <a:schemeClr val="accent5">
                <a:lumMod val="50000"/>
              </a:schemeClr>
            </a:solidFill>
          </a:endParaRPr>
        </a:p>
      </xdr:txBody>
    </xdr:sp>
    <xdr:clientData/>
  </xdr:oneCellAnchor>
  <xdr:twoCellAnchor>
    <xdr:from>
      <xdr:col>14</xdr:col>
      <xdr:colOff>105834</xdr:colOff>
      <xdr:row>31</xdr:row>
      <xdr:rowOff>52916</xdr:rowOff>
    </xdr:from>
    <xdr:to>
      <xdr:col>21</xdr:col>
      <xdr:colOff>607333</xdr:colOff>
      <xdr:row>53</xdr:row>
      <xdr:rowOff>52917</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338667</xdr:colOff>
      <xdr:row>9</xdr:row>
      <xdr:rowOff>158750</xdr:rowOff>
    </xdr:from>
    <xdr:to>
      <xdr:col>3</xdr:col>
      <xdr:colOff>338667</xdr:colOff>
      <xdr:row>19</xdr:row>
      <xdr:rowOff>23813</xdr:rowOff>
    </xdr:to>
    <mc:AlternateContent xmlns:mc="http://schemas.openxmlformats.org/markup-compatibility/2006" xmlns:a14="http://schemas.microsoft.com/office/drawing/2010/main">
      <mc:Choice Requires="a14">
        <xdr:graphicFrame macro="">
          <xdr:nvGraphicFramePr>
            <xdr:cNvPr id="3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8667" y="1801813"/>
              <a:ext cx="1833563" cy="169068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329672</xdr:colOff>
      <xdr:row>20</xdr:row>
      <xdr:rowOff>55563</xdr:rowOff>
    </xdr:from>
    <xdr:to>
      <xdr:col>3</xdr:col>
      <xdr:colOff>329672</xdr:colOff>
      <xdr:row>36</xdr:row>
      <xdr:rowOff>71439</xdr:rowOff>
    </xdr:to>
    <mc:AlternateContent xmlns:mc="http://schemas.openxmlformats.org/markup-compatibility/2006" xmlns:a14="http://schemas.microsoft.com/office/drawing/2010/main">
      <mc:Choice Requires="a14">
        <xdr:graphicFrame macro="">
          <xdr:nvGraphicFramePr>
            <xdr:cNvPr id="4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29672" y="3706813"/>
              <a:ext cx="1833563" cy="293687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332317</xdr:colOff>
      <xdr:row>37</xdr:row>
      <xdr:rowOff>71437</xdr:rowOff>
    </xdr:from>
    <xdr:to>
      <xdr:col>3</xdr:col>
      <xdr:colOff>332317</xdr:colOff>
      <xdr:row>53</xdr:row>
      <xdr:rowOff>63499</xdr:rowOff>
    </xdr:to>
    <mc:AlternateContent xmlns:mc="http://schemas.openxmlformats.org/markup-compatibility/2006" xmlns:a14="http://schemas.microsoft.com/office/drawing/2010/main">
      <mc:Choice Requires="a14">
        <xdr:graphicFrame macro="">
          <xdr:nvGraphicFramePr>
            <xdr:cNvPr id="4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2317" y="6826250"/>
              <a:ext cx="1833563" cy="291306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0.53411</cdr:x>
      <cdr:y>0.15672</cdr:y>
    </cdr:from>
    <cdr:to>
      <cdr:x>0.76357</cdr:x>
      <cdr:y>0.27239</cdr:y>
    </cdr:to>
    <cdr:sp macro="" textlink="">
      <cdr:nvSpPr>
        <cdr:cNvPr id="2" name="TextBox 1"/>
        <cdr:cNvSpPr txBox="1"/>
      </cdr:nvSpPr>
      <cdr:spPr>
        <a:xfrm xmlns:a="http://schemas.openxmlformats.org/drawingml/2006/main">
          <a:off x="1093788" y="333374"/>
          <a:ext cx="469900" cy="24606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t>
          </a:r>
          <a:r>
            <a:rPr lang="en-US" sz="1100" baseline="0"/>
            <a:t> 5500</a:t>
          </a:r>
          <a:endParaRPr lang="en-US" sz="1100"/>
        </a:p>
      </cdr:txBody>
    </cdr:sp>
  </cdr:relSizeAnchor>
  <cdr:relSizeAnchor xmlns:cdr="http://schemas.openxmlformats.org/drawingml/2006/chartDrawing">
    <cdr:from>
      <cdr:x>0.50698</cdr:x>
      <cdr:y>0.28936</cdr:y>
    </cdr:from>
    <cdr:to>
      <cdr:x>0.8062</cdr:x>
      <cdr:y>0.37518</cdr:y>
    </cdr:to>
    <cdr:sp macro="" textlink="">
      <cdr:nvSpPr>
        <cdr:cNvPr id="3" name="TextBox 2"/>
        <cdr:cNvSpPr txBox="1"/>
      </cdr:nvSpPr>
      <cdr:spPr>
        <a:xfrm xmlns:a="http://schemas.openxmlformats.org/drawingml/2006/main">
          <a:off x="1033051" y="611610"/>
          <a:ext cx="609721" cy="18139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$ 5000</a:t>
          </a:r>
        </a:p>
      </cdr:txBody>
    </cdr:sp>
  </cdr:relSizeAnchor>
  <cdr:relSizeAnchor xmlns:cdr="http://schemas.openxmlformats.org/drawingml/2006/chartDrawing">
    <cdr:from>
      <cdr:x>0.55349</cdr:x>
      <cdr:y>0.57015</cdr:y>
    </cdr:from>
    <cdr:to>
      <cdr:x>1</cdr:x>
      <cdr:y>1</cdr:y>
    </cdr:to>
    <cdr:sp macro="" textlink="">
      <cdr:nvSpPr>
        <cdr:cNvPr id="4" name="TextBox 3"/>
        <cdr:cNvSpPr txBox="1"/>
      </cdr:nvSpPr>
      <cdr:spPr>
        <a:xfrm xmlns:a="http://schemas.openxmlformats.org/drawingml/2006/main">
          <a:off x="1135062" y="138112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0.48372</cdr:x>
      <cdr:y>0.58507</cdr:y>
    </cdr:from>
    <cdr:to>
      <cdr:x>0.93023</cdr:x>
      <cdr:y>0.70522</cdr:y>
    </cdr:to>
    <cdr:sp macro="" textlink="">
      <cdr:nvSpPr>
        <cdr:cNvPr id="5" name="TextBox 4"/>
        <cdr:cNvSpPr txBox="1"/>
      </cdr:nvSpPr>
      <cdr:spPr>
        <a:xfrm xmlns:a="http://schemas.openxmlformats.org/drawingml/2006/main">
          <a:off x="990600" y="1244601"/>
          <a:ext cx="914400" cy="25558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$ 4500</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cer" refreshedDate="46072.744606250002" createdVersion="4" refreshedVersion="4" minRefreshableVersion="3" recordCount="40">
  <cacheSource type="worksheet">
    <worksheetSource name="Table2"/>
  </cacheSource>
  <cacheFields count="10">
    <cacheField name="Order Date" numFmtId="164">
      <sharedItems containsDate="1" containsMixedTypes="1" minDate="2021-03-08T00:00:00" maxDate="2024-11-13T00:00:00"/>
    </cacheField>
    <cacheField name="Customer Name" numFmtId="0">
      <sharedItems count="40">
        <s v="Amit Shah"/>
        <s v="Neha Patel"/>
        <s v="Rahul Verma"/>
        <s v="Priya Singh"/>
        <s v="Arjun Mehta"/>
        <s v="Sneha Iyer"/>
        <s v="Karan Malhotra"/>
        <s v="Anjali Desai"/>
        <s v="Vikram Rao"/>
        <s v="Meera Joshi"/>
        <s v="Rohit Sharma"/>
        <s v="Divya Nair"/>
        <s v="Manish Gupta"/>
        <s v="Pooja Reddy"/>
        <s v="Sahil Khan"/>
        <s v="Ritu Kapoor"/>
        <s v="Aditya Jain"/>
        <s v="Kavya Menon"/>
        <s v="Varun Das"/>
        <s v="Ishita Roy"/>
        <s v="Nikhil Arora"/>
        <s v="Tanvi Shah"/>
        <s v="Yash Kulkarni"/>
        <s v="Simran Kaur"/>
        <s v="Abhishek Mishra"/>
        <s v="Riya Sharma"/>
        <s v="Mohit Jain"/>
        <s v="Shreya Nair"/>
        <s v="Kunal Verma"/>
        <s v="Aisha Khan"/>
        <s v="Harsh Patel"/>
        <s v="Lavanya Iyer"/>
        <s v="Deepak Singh"/>
        <s v="Ananya Das"/>
        <s v="Raj Malhotra"/>
        <s v="Pritam Dutta"/>
        <s v="Megha Kapoor"/>
        <s v="Suresh Reddy"/>
        <s v="Alka Sharma"/>
        <s v="Vivek Joshi"/>
      </sharedItems>
    </cacheField>
    <cacheField name="State" numFmtId="0">
      <sharedItems count="15">
        <s v="Maharashtra"/>
        <s v="Gujarat"/>
        <s v="Delhi"/>
        <s v="Karnataka"/>
        <s v="Rajasthan"/>
        <s v="Tamil Nadu"/>
        <s v="Punjab"/>
        <s v="Telangana"/>
        <s v="Kerala"/>
        <s v="Uttar Pradesh"/>
        <s v="Andhra Pradesh"/>
        <s v="Madhya Pradesh"/>
        <s v="Haryana"/>
        <s v="West Bengal"/>
        <s v="Assam"/>
      </sharedItems>
    </cacheField>
    <cacheField name="Category" numFmtId="0">
      <sharedItems count="3">
        <s v="Furniture"/>
        <s v="Technology"/>
        <s v="Office Supplies"/>
      </sharedItems>
    </cacheField>
    <cacheField name="Sub-Category" numFmtId="0">
      <sharedItems count="12">
        <s v="Chairs"/>
        <s v="Phones"/>
        <s v="Binders"/>
        <s v="Tables"/>
        <s v="Laptops"/>
        <s v="Paper"/>
        <s v="Bookcases"/>
        <s v="Accessories"/>
        <s v="Storage"/>
        <s v="Furnishings"/>
        <s v="Art"/>
        <s v="Envelopes"/>
      </sharedItems>
    </cacheField>
    <cacheField name="Sales" numFmtId="0">
      <sharedItems containsSemiMixedTypes="0" containsString="0" containsNumber="1" containsInteger="1" minValue="700" maxValue="60000"/>
    </cacheField>
    <cacheField name="Quantity" numFmtId="0">
      <sharedItems containsSemiMixedTypes="0" containsString="0" containsNumber="1" containsInteger="1" minValue="1" maxValue="12"/>
    </cacheField>
    <cacheField name="Profit" numFmtId="0">
      <sharedItems containsSemiMixedTypes="0" containsString="0" containsNumber="1" containsInteger="1" minValue="90" maxValue="5500"/>
    </cacheField>
    <cacheField name="Month" numFmtId="0">
      <sharedItems count="6">
        <s v="January"/>
        <s v="February"/>
        <s v="March"/>
        <s v="April"/>
        <s v="May"/>
        <s v="June"/>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cer" refreshedDate="46072.744606944441" createdVersion="4" refreshedVersion="4" minRefreshableVersion="3" recordCount="40">
  <cacheSource type="worksheet">
    <worksheetSource ref="O2:P42"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
  <r>
    <d v="2021-05-01T00:00:00"/>
    <x v="0"/>
    <x v="0"/>
    <x v="0"/>
    <x v="0"/>
    <n v="4500"/>
    <n v="2"/>
    <n v="500"/>
    <x v="0"/>
    <x v="0"/>
  </r>
  <r>
    <s v="18/02/21"/>
    <x v="1"/>
    <x v="1"/>
    <x v="1"/>
    <x v="1"/>
    <n v="15000"/>
    <n v="1"/>
    <n v="2000"/>
    <x v="0"/>
    <x v="0"/>
  </r>
  <r>
    <d v="2021-12-03T00:00:00"/>
    <x v="2"/>
    <x v="2"/>
    <x v="2"/>
    <x v="2"/>
    <n v="1200"/>
    <n v="5"/>
    <n v="150"/>
    <x v="0"/>
    <x v="0"/>
  </r>
  <r>
    <s v="25/04/21"/>
    <x v="3"/>
    <x v="3"/>
    <x v="0"/>
    <x v="3"/>
    <n v="8000"/>
    <n v="1"/>
    <n v="1200"/>
    <x v="0"/>
    <x v="0"/>
  </r>
  <r>
    <d v="2021-09-05T00:00:00"/>
    <x v="4"/>
    <x v="4"/>
    <x v="1"/>
    <x v="4"/>
    <n v="55000"/>
    <n v="1"/>
    <n v="5000"/>
    <x v="0"/>
    <x v="0"/>
  </r>
  <r>
    <s v="14/06/21"/>
    <x v="5"/>
    <x v="5"/>
    <x v="2"/>
    <x v="5"/>
    <n v="900"/>
    <n v="10"/>
    <n v="120"/>
    <x v="1"/>
    <x v="0"/>
  </r>
  <r>
    <s v="21/07/21"/>
    <x v="6"/>
    <x v="6"/>
    <x v="0"/>
    <x v="6"/>
    <n v="7000"/>
    <n v="2"/>
    <n v="800"/>
    <x v="1"/>
    <x v="0"/>
  </r>
  <r>
    <d v="2021-03-08T00:00:00"/>
    <x v="7"/>
    <x v="0"/>
    <x v="1"/>
    <x v="7"/>
    <n v="2500"/>
    <n v="3"/>
    <n v="300"/>
    <x v="1"/>
    <x v="0"/>
  </r>
  <r>
    <s v="17/09/21"/>
    <x v="8"/>
    <x v="7"/>
    <x v="2"/>
    <x v="8"/>
    <n v="3200"/>
    <n v="4"/>
    <n v="400"/>
    <x v="1"/>
    <x v="0"/>
  </r>
  <r>
    <s v="29/11/21"/>
    <x v="9"/>
    <x v="1"/>
    <x v="0"/>
    <x v="9"/>
    <n v="1800"/>
    <n v="6"/>
    <n v="200"/>
    <x v="1"/>
    <x v="0"/>
  </r>
  <r>
    <d v="2022-08-01T00:00:00"/>
    <x v="10"/>
    <x v="2"/>
    <x v="1"/>
    <x v="1"/>
    <n v="22000"/>
    <n v="2"/>
    <n v="2500"/>
    <x v="2"/>
    <x v="1"/>
  </r>
  <r>
    <s v="19/02/22"/>
    <x v="11"/>
    <x v="8"/>
    <x v="2"/>
    <x v="10"/>
    <n v="1500"/>
    <n v="3"/>
    <n v="180"/>
    <x v="2"/>
    <x v="1"/>
  </r>
  <r>
    <s v="15/03/22"/>
    <x v="12"/>
    <x v="9"/>
    <x v="0"/>
    <x v="0"/>
    <n v="6000"/>
    <n v="3"/>
    <n v="750"/>
    <x v="2"/>
    <x v="1"/>
  </r>
  <r>
    <s v="27/04/22"/>
    <x v="13"/>
    <x v="10"/>
    <x v="1"/>
    <x v="4"/>
    <n v="48000"/>
    <n v="1"/>
    <n v="4500"/>
    <x v="2"/>
    <x v="1"/>
  </r>
  <r>
    <d v="2022-10-05T00:00:00"/>
    <x v="14"/>
    <x v="11"/>
    <x v="2"/>
    <x v="11"/>
    <n v="700"/>
    <n v="8"/>
    <n v="90"/>
    <x v="2"/>
    <x v="1"/>
  </r>
  <r>
    <s v="22/06/22"/>
    <x v="15"/>
    <x v="12"/>
    <x v="0"/>
    <x v="3"/>
    <n v="9500"/>
    <n v="2"/>
    <n v="1100"/>
    <x v="2"/>
    <x v="1"/>
  </r>
  <r>
    <d v="2022-05-07T00:00:00"/>
    <x v="16"/>
    <x v="0"/>
    <x v="1"/>
    <x v="7"/>
    <n v="3000"/>
    <n v="4"/>
    <n v="350"/>
    <x v="3"/>
    <x v="1"/>
  </r>
  <r>
    <s v="18/08/22"/>
    <x v="17"/>
    <x v="3"/>
    <x v="2"/>
    <x v="2"/>
    <n v="1100"/>
    <n v="6"/>
    <n v="140"/>
    <x v="3"/>
    <x v="1"/>
  </r>
  <r>
    <s v="30/09/22"/>
    <x v="18"/>
    <x v="13"/>
    <x v="0"/>
    <x v="9"/>
    <n v="2100"/>
    <n v="5"/>
    <n v="260"/>
    <x v="3"/>
    <x v="1"/>
  </r>
  <r>
    <d v="2022-12-12T00:00:00"/>
    <x v="19"/>
    <x v="14"/>
    <x v="1"/>
    <x v="1"/>
    <n v="18000"/>
    <n v="1"/>
    <n v="2200"/>
    <x v="3"/>
    <x v="1"/>
  </r>
  <r>
    <d v="2023-04-01T00:00:00"/>
    <x v="20"/>
    <x v="2"/>
    <x v="2"/>
    <x v="5"/>
    <n v="950"/>
    <n v="12"/>
    <n v="130"/>
    <x v="3"/>
    <x v="2"/>
  </r>
  <r>
    <s v="16/02/23"/>
    <x v="21"/>
    <x v="1"/>
    <x v="0"/>
    <x v="6"/>
    <n v="7200"/>
    <n v="2"/>
    <n v="850"/>
    <x v="3"/>
    <x v="2"/>
  </r>
  <r>
    <d v="2023-11-03T00:00:00"/>
    <x v="22"/>
    <x v="0"/>
    <x v="1"/>
    <x v="4"/>
    <n v="60000"/>
    <n v="1"/>
    <n v="5500"/>
    <x v="3"/>
    <x v="2"/>
  </r>
  <r>
    <s v="24/04/23"/>
    <x v="23"/>
    <x v="6"/>
    <x v="2"/>
    <x v="8"/>
    <n v="2800"/>
    <n v="3"/>
    <n v="320"/>
    <x v="3"/>
    <x v="2"/>
  </r>
  <r>
    <d v="2023-07-05T00:00:00"/>
    <x v="24"/>
    <x v="9"/>
    <x v="0"/>
    <x v="0"/>
    <n v="5000"/>
    <n v="2"/>
    <n v="600"/>
    <x v="3"/>
    <x v="2"/>
  </r>
  <r>
    <s v="19/06/23"/>
    <x v="25"/>
    <x v="4"/>
    <x v="1"/>
    <x v="7"/>
    <n v="2700"/>
    <n v="4"/>
    <n v="310"/>
    <x v="4"/>
    <x v="2"/>
  </r>
  <r>
    <d v="2023-02-07T00:00:00"/>
    <x v="26"/>
    <x v="12"/>
    <x v="2"/>
    <x v="10"/>
    <n v="1300"/>
    <n v="5"/>
    <n v="170"/>
    <x v="4"/>
    <x v="2"/>
  </r>
  <r>
    <s v="15/08/23"/>
    <x v="27"/>
    <x v="8"/>
    <x v="0"/>
    <x v="3"/>
    <n v="8700"/>
    <n v="1"/>
    <n v="1050"/>
    <x v="4"/>
    <x v="2"/>
  </r>
  <r>
    <s v="28/09/23"/>
    <x v="28"/>
    <x v="2"/>
    <x v="1"/>
    <x v="1"/>
    <n v="24000"/>
    <n v="2"/>
    <n v="2800"/>
    <x v="4"/>
    <x v="2"/>
  </r>
  <r>
    <d v="2023-10-11T00:00:00"/>
    <x v="29"/>
    <x v="11"/>
    <x v="2"/>
    <x v="11"/>
    <n v="750"/>
    <n v="9"/>
    <n v="95"/>
    <x v="4"/>
    <x v="2"/>
  </r>
  <r>
    <d v="2024-09-01T00:00:00"/>
    <x v="30"/>
    <x v="1"/>
    <x v="0"/>
    <x v="9"/>
    <n v="1900"/>
    <n v="6"/>
    <n v="220"/>
    <x v="4"/>
    <x v="3"/>
  </r>
  <r>
    <s v="20/02/24"/>
    <x v="31"/>
    <x v="5"/>
    <x v="1"/>
    <x v="4"/>
    <n v="52000"/>
    <n v="1"/>
    <n v="4800"/>
    <x v="4"/>
    <x v="3"/>
  </r>
  <r>
    <s v="14/03/24"/>
    <x v="32"/>
    <x v="9"/>
    <x v="2"/>
    <x v="2"/>
    <n v="1400"/>
    <n v="7"/>
    <n v="160"/>
    <x v="4"/>
    <x v="3"/>
  </r>
  <r>
    <s v="26/04/24"/>
    <x v="33"/>
    <x v="13"/>
    <x v="0"/>
    <x v="6"/>
    <n v="7600"/>
    <n v="2"/>
    <n v="900"/>
    <x v="5"/>
    <x v="3"/>
  </r>
  <r>
    <d v="2024-08-05T00:00:00"/>
    <x v="34"/>
    <x v="6"/>
    <x v="1"/>
    <x v="7"/>
    <n v="3200"/>
    <n v="5"/>
    <n v="400"/>
    <x v="5"/>
    <x v="3"/>
  </r>
  <r>
    <s v="21/06/24"/>
    <x v="35"/>
    <x v="14"/>
    <x v="2"/>
    <x v="5"/>
    <n v="980"/>
    <n v="11"/>
    <n v="125"/>
    <x v="5"/>
    <x v="3"/>
  </r>
  <r>
    <d v="2024-03-07T00:00:00"/>
    <x v="36"/>
    <x v="12"/>
    <x v="0"/>
    <x v="0"/>
    <n v="6400"/>
    <n v="3"/>
    <n v="780"/>
    <x v="5"/>
    <x v="3"/>
  </r>
  <r>
    <s v="16/08/24"/>
    <x v="37"/>
    <x v="7"/>
    <x v="1"/>
    <x v="1"/>
    <n v="26000"/>
    <n v="2"/>
    <n v="3000"/>
    <x v="5"/>
    <x v="3"/>
  </r>
  <r>
    <s v="29/09/24"/>
    <x v="38"/>
    <x v="4"/>
    <x v="2"/>
    <x v="8"/>
    <n v="3500"/>
    <n v="4"/>
    <n v="450"/>
    <x v="5"/>
    <x v="3"/>
  </r>
  <r>
    <d v="2024-11-12T00:00:00"/>
    <x v="39"/>
    <x v="0"/>
    <x v="0"/>
    <x v="3"/>
    <n v="9100"/>
    <n v="1"/>
    <n v="1150"/>
    <x v="5"/>
    <x v="3"/>
  </r>
</pivotCacheRecords>
</file>

<file path=xl/pivotCache/pivotCacheRecords2.xml><?xml version="1.0" encoding="utf-8"?>
<pivotCacheRecords xmlns="http://schemas.openxmlformats.org/spreadsheetml/2006/main" xmlns:r="http://schemas.openxmlformats.org/officeDocument/2006/relationships" count="40">
  <r>
    <s v="Amit Shah"/>
    <x v="0"/>
  </r>
  <r>
    <s v="Neha Patel"/>
    <x v="0"/>
  </r>
  <r>
    <s v="Rahul Verma"/>
    <x v="0"/>
  </r>
  <r>
    <s v="Priya Singh"/>
    <x v="0"/>
  </r>
  <r>
    <s v="Arjun Mehta"/>
    <x v="0"/>
  </r>
  <r>
    <s v="Sneha Iyer"/>
    <x v="0"/>
  </r>
  <r>
    <s v="Karan Malhotra"/>
    <x v="0"/>
  </r>
  <r>
    <s v="Anjali Desai"/>
    <x v="0"/>
  </r>
  <r>
    <s v="Vikram Rao"/>
    <x v="0"/>
  </r>
  <r>
    <s v="Meera Joshi"/>
    <x v="0"/>
  </r>
  <r>
    <s v="Rohit Sharma"/>
    <x v="1"/>
  </r>
  <r>
    <s v="Divya Nair"/>
    <x v="1"/>
  </r>
  <r>
    <s v="Manish Gupta"/>
    <x v="1"/>
  </r>
  <r>
    <s v="Pooja Reddy"/>
    <x v="1"/>
  </r>
  <r>
    <s v="Sahil Khan"/>
    <x v="1"/>
  </r>
  <r>
    <s v="Ritu Kapoor"/>
    <x v="1"/>
  </r>
  <r>
    <s v="Aditya Jain"/>
    <x v="1"/>
  </r>
  <r>
    <s v="Kavya Menon"/>
    <x v="1"/>
  </r>
  <r>
    <s v="Varun Das"/>
    <x v="1"/>
  </r>
  <r>
    <s v="Ishita Roy"/>
    <x v="1"/>
  </r>
  <r>
    <s v="Nikhil Arora"/>
    <x v="2"/>
  </r>
  <r>
    <s v="Tanvi Shah"/>
    <x v="2"/>
  </r>
  <r>
    <s v="Yash Kulkarni"/>
    <x v="2"/>
  </r>
  <r>
    <s v="Simran Kaur"/>
    <x v="2"/>
  </r>
  <r>
    <s v="Abhishek Mishra"/>
    <x v="2"/>
  </r>
  <r>
    <s v="Riya Sharma"/>
    <x v="2"/>
  </r>
  <r>
    <s v="Mohit Jain"/>
    <x v="2"/>
  </r>
  <r>
    <s v="Shreya Nair"/>
    <x v="2"/>
  </r>
  <r>
    <s v="Kunal Verma"/>
    <x v="2"/>
  </r>
  <r>
    <s v="Aisha Khan"/>
    <x v="2"/>
  </r>
  <r>
    <s v="Harsh Patel"/>
    <x v="3"/>
  </r>
  <r>
    <s v="Lavanya Iyer"/>
    <x v="3"/>
  </r>
  <r>
    <s v="Deepak Singh"/>
    <x v="3"/>
  </r>
  <r>
    <s v="Ananya Das"/>
    <x v="3"/>
  </r>
  <r>
    <s v="Raj Malhotra"/>
    <x v="3"/>
  </r>
  <r>
    <s v="Pritam Dutta"/>
    <x v="3"/>
  </r>
  <r>
    <s v="Megha Kapoor"/>
    <x v="3"/>
  </r>
  <r>
    <s v="Suresh Reddy"/>
    <x v="3"/>
  </r>
  <r>
    <s v="Alka Sharma"/>
    <x v="3"/>
  </r>
  <r>
    <s v="Vivek Joshi"/>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I2:J15" firstHeaderRow="1" firstDataRow="1" firstDataCol="1"/>
  <pivotFields count="10">
    <pivotField showAll="0"/>
    <pivotField showAll="0"/>
    <pivotField showAll="0"/>
    <pivotField showAll="0">
      <items count="4">
        <item x="0"/>
        <item x="2"/>
        <item x="1"/>
        <item t="default"/>
      </items>
    </pivotField>
    <pivotField axis="axisRow" showAll="0" sortType="ascending">
      <items count="13">
        <item x="7"/>
        <item x="10"/>
        <item x="2"/>
        <item x="6"/>
        <item x="0"/>
        <item x="11"/>
        <item x="9"/>
        <item x="4"/>
        <item x="5"/>
        <item x="1"/>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13">
    <i>
      <x v="5"/>
    </i>
    <i>
      <x v="1"/>
    </i>
    <i>
      <x v="8"/>
    </i>
    <i>
      <x v="2"/>
    </i>
    <i>
      <x v="6"/>
    </i>
    <i>
      <x v="10"/>
    </i>
    <i>
      <x/>
    </i>
    <i>
      <x v="3"/>
    </i>
    <i>
      <x v="4"/>
    </i>
    <i>
      <x v="11"/>
    </i>
    <i>
      <x v="9"/>
    </i>
    <i>
      <x v="7"/>
    </i>
    <i t="grand">
      <x/>
    </i>
  </rowItems>
  <colItems count="1">
    <i/>
  </colItems>
  <dataFields count="1">
    <dataField name="Sum of Sales" fld="5" baseField="0" baseItem="0" numFmtId="166"/>
  </dataFields>
  <formats count="1">
    <format dxfId="0">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D3:AE10" firstHeaderRow="1" firstDataRow="1" firstDataCol="1"/>
  <pivotFields count="10">
    <pivotField showAll="0"/>
    <pivotField showAll="0"/>
    <pivotField showAll="0"/>
    <pivotField showAll="0">
      <items count="4">
        <item x="0"/>
        <item x="2"/>
        <item x="1"/>
        <item t="default"/>
      </items>
    </pivotField>
    <pivotField showAll="0"/>
    <pivotField dataField="1" showAll="0"/>
    <pivotField showAll="0"/>
    <pivotField showAll="0"/>
    <pivotField axis="axisRow" showAll="0">
      <items count="7">
        <item x="0"/>
        <item x="1"/>
        <item x="2"/>
        <item x="3"/>
        <item x="4"/>
        <item x="5"/>
        <item t="default"/>
      </items>
    </pivotField>
    <pivotField showAll="0">
      <items count="5">
        <item x="0"/>
        <item x="1"/>
        <item x="2"/>
        <item x="3"/>
        <item t="default"/>
      </items>
    </pivotField>
  </pivotFields>
  <rowFields count="1">
    <field x="8"/>
  </rowFields>
  <rowItems count="7">
    <i>
      <x/>
    </i>
    <i>
      <x v="1"/>
    </i>
    <i>
      <x v="2"/>
    </i>
    <i>
      <x v="3"/>
    </i>
    <i>
      <x v="4"/>
    </i>
    <i>
      <x v="5"/>
    </i>
    <i t="grand">
      <x/>
    </i>
  </rowItems>
  <colItems count="1">
    <i/>
  </colItems>
  <dataFields count="1">
    <dataField name="Sum of Sales" fld="5" baseField="0" baseItem="0" numFmtId="165"/>
  </dataFields>
  <formats count="1">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R3:S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A3" firstHeaderRow="1" firstDataRow="1" firstDataCol="0"/>
  <pivotFields count="10">
    <pivotField showAll="0"/>
    <pivotField showAll="0"/>
    <pivotField showAll="0"/>
    <pivotField showAll="0">
      <items count="4">
        <item x="0"/>
        <item x="2"/>
        <item x="1"/>
        <item t="default"/>
      </items>
    </pivotField>
    <pivotField showAll="0"/>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Sales" fld="5" baseField="0" baseItem="0" numFmtId="166"/>
  </dataFields>
  <formats count="2">
    <format dxfId="3">
      <pivotArea outline="0" collapsedLevelsAreSubtotals="1" fieldPosition="0"/>
    </format>
    <format dxfId="2">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6:A7" firstHeaderRow="1" firstDataRow="1" firstDataCol="0"/>
  <pivotFields count="10">
    <pivotField showAll="0"/>
    <pivotField showAll="0"/>
    <pivotField showAll="0"/>
    <pivotField showAll="0">
      <items count="4">
        <item x="0"/>
        <item x="2"/>
        <item x="1"/>
        <item t="default"/>
      </items>
    </pivotField>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7" baseField="0" baseItem="0" numFmtId="166"/>
  </dataFields>
  <formats count="1">
    <format dxfId="4">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U3:V19" firstHeaderRow="1" firstDataRow="1" firstDataCol="1"/>
  <pivotFields count="10">
    <pivotField showAll="0"/>
    <pivotField showAll="0"/>
    <pivotField axis="axisRow" showAll="0">
      <items count="16">
        <item x="10"/>
        <item x="14"/>
        <item x="2"/>
        <item x="1"/>
        <item x="12"/>
        <item x="3"/>
        <item x="8"/>
        <item x="11"/>
        <item x="0"/>
        <item x="6"/>
        <item x="4"/>
        <item x="5"/>
        <item x="7"/>
        <item x="9"/>
        <item x="13"/>
        <item t="default"/>
      </items>
    </pivotField>
    <pivotField showAll="0">
      <items count="4">
        <item x="0"/>
        <item x="2"/>
        <item x="1"/>
        <item t="default"/>
      </items>
    </pivotField>
    <pivotField showAll="0"/>
    <pivotField dataField="1"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Sum of Sales" fld="5" baseField="0" baseItem="0" numFmtId="165"/>
  </dataFields>
  <formats count="1">
    <format dxfId="5">
      <pivotArea outline="0" collapsedLevelsAreSubtotals="1" fieldPosition="0"/>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A3:AB9" firstHeaderRow="1" firstDataRow="1" firstDataCol="1"/>
  <pivotFields count="10">
    <pivotField showAll="0"/>
    <pivotField axis="axisRow" showAll="0" measureFilter="1" sortType="ascending">
      <items count="41">
        <item x="24"/>
        <item x="16"/>
        <item x="29"/>
        <item x="38"/>
        <item x="0"/>
        <item x="33"/>
        <item x="7"/>
        <item x="4"/>
        <item x="32"/>
        <item x="11"/>
        <item x="30"/>
        <item x="19"/>
        <item x="6"/>
        <item x="17"/>
        <item x="28"/>
        <item x="31"/>
        <item x="12"/>
        <item x="9"/>
        <item x="36"/>
        <item x="26"/>
        <item x="1"/>
        <item x="20"/>
        <item x="13"/>
        <item x="35"/>
        <item x="3"/>
        <item x="2"/>
        <item x="34"/>
        <item x="15"/>
        <item x="25"/>
        <item x="10"/>
        <item x="14"/>
        <item x="27"/>
        <item x="23"/>
        <item x="5"/>
        <item x="37"/>
        <item x="21"/>
        <item x="18"/>
        <item x="8"/>
        <item x="39"/>
        <item x="22"/>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dataField="1" showAll="0"/>
    <pivotField showAll="0">
      <items count="7">
        <item x="0"/>
        <item x="1"/>
        <item x="2"/>
        <item x="3"/>
        <item x="4"/>
        <item x="5"/>
        <item t="default"/>
      </items>
    </pivotField>
    <pivotField showAll="0">
      <items count="5">
        <item x="0"/>
        <item x="1"/>
        <item x="2"/>
        <item x="3"/>
        <item t="default"/>
      </items>
    </pivotField>
  </pivotFields>
  <rowFields count="1">
    <field x="1"/>
  </rowFields>
  <rowItems count="6">
    <i>
      <x v="34"/>
    </i>
    <i>
      <x v="22"/>
    </i>
    <i>
      <x v="15"/>
    </i>
    <i>
      <x v="7"/>
    </i>
    <i>
      <x v="39"/>
    </i>
    <i t="grand">
      <x/>
    </i>
  </rowItems>
  <colItems count="1">
    <i/>
  </colItems>
  <dataFields count="1">
    <dataField name="Sum of Profit" fld="7" baseField="0" baseItem="0" numFmtId="165"/>
  </dataFields>
  <formats count="1">
    <format dxfId="6">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13"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C2:G8" firstHeaderRow="1" firstDataRow="2" firstDataCol="1"/>
  <pivotFields count="10">
    <pivotField showAll="0"/>
    <pivotField showAll="0"/>
    <pivotField showAll="0"/>
    <pivotField axis="axisCol" showAll="0">
      <items count="4">
        <item x="0"/>
        <item x="2"/>
        <item x="1"/>
        <item t="default"/>
      </items>
    </pivotField>
    <pivotField showAll="0"/>
    <pivotField showAll="0"/>
    <pivotField showAll="0"/>
    <pivotField dataField="1" showAll="0"/>
    <pivotField showAll="0">
      <items count="7">
        <item x="0"/>
        <item x="1"/>
        <item x="2"/>
        <item x="3"/>
        <item x="4"/>
        <item x="5"/>
        <item t="default"/>
      </items>
    </pivotField>
    <pivotField axis="axisRow" showAll="0">
      <items count="5">
        <item x="3"/>
        <item x="0"/>
        <item x="1"/>
        <item x="2"/>
        <item t="default"/>
      </items>
    </pivotField>
  </pivotFields>
  <rowFields count="1">
    <field x="9"/>
  </rowFields>
  <rowItems count="5">
    <i>
      <x/>
    </i>
    <i>
      <x v="1"/>
    </i>
    <i>
      <x v="2"/>
    </i>
    <i>
      <x v="3"/>
    </i>
    <i t="grand">
      <x/>
    </i>
  </rowItems>
  <colFields count="1">
    <field x="3"/>
  </colFields>
  <colItems count="4">
    <i>
      <x/>
    </i>
    <i>
      <x v="1"/>
    </i>
    <i>
      <x v="2"/>
    </i>
    <i t="grand">
      <x/>
    </i>
  </colItems>
  <dataFields count="1">
    <dataField name="Sum of Profit" fld="7" baseField="0" baseItem="0" numFmtId="166"/>
  </dataFields>
  <formats count="1">
    <format dxfId="7">
      <pivotArea outline="0" collapsedLevelsAreSubtotals="1" fieldPosition="0"/>
    </format>
  </formats>
  <chartFormats count="3">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 Style 1" rowHeight="365760"/>
  <slicer name="Month" cache="Slicer_Month" caption="Month" style="Slicer Style 1" rowHeight="365760"/>
  <slicer name="Year" cache="Slicer_Year" caption="Year" style="Slicer Style 1" rowHeight="548640"/>
</slicers>
</file>

<file path=xl/tables/table1.xml><?xml version="1.0" encoding="utf-8"?>
<table xmlns="http://schemas.openxmlformats.org/spreadsheetml/2006/main" id="2" name="Table2" displayName="Table2" ref="A1:J41" totalsRowShown="0" headerRowDxfId="19" dataDxfId="18">
  <autoFilter ref="A1:J41"/>
  <tableColumns count="10">
    <tableColumn id="1" name="Order Date" dataDxfId="17"/>
    <tableColumn id="2" name="Customer Name" dataDxfId="16"/>
    <tableColumn id="3" name="State" dataDxfId="15"/>
    <tableColumn id="4" name="Category" dataDxfId="14"/>
    <tableColumn id="5" name="Sub-Category" dataDxfId="13"/>
    <tableColumn id="6" name="Sales" dataDxfId="12"/>
    <tableColumn id="7" name="Quantity" dataDxfId="11"/>
    <tableColumn id="8" name="Profit" dataDxfId="10"/>
    <tableColumn id="9" name="Month" dataDxfId="9"/>
    <tableColumn id="10" name="Year" dataDxfId="8"/>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workbookViewId="0">
      <selection activeCell="M6" sqref="M6"/>
    </sheetView>
  </sheetViews>
  <sheetFormatPr defaultRowHeight="14.5" x14ac:dyDescent="0.35"/>
  <cols>
    <col min="1" max="1" width="16.6328125" style="5" customWidth="1"/>
    <col min="2" max="5" width="17.7265625" style="5" customWidth="1"/>
    <col min="6" max="6" width="12" style="5" customWidth="1"/>
    <col min="7" max="7" width="11.90625" style="5" customWidth="1"/>
    <col min="8" max="8" width="10.54296875" style="5" customWidth="1"/>
    <col min="9" max="9" width="12.7265625" style="5" customWidth="1"/>
    <col min="10" max="10" width="9.81640625" style="5" customWidth="1"/>
  </cols>
  <sheetData>
    <row r="1" spans="1:11" s="6" customFormat="1" ht="28.5" customHeight="1" x14ac:dyDescent="0.35">
      <c r="A1" s="2" t="s">
        <v>0</v>
      </c>
      <c r="B1" s="2" t="s">
        <v>1</v>
      </c>
      <c r="C1" s="2" t="s">
        <v>2</v>
      </c>
      <c r="D1" s="2" t="s">
        <v>3</v>
      </c>
      <c r="E1" s="2" t="s">
        <v>4</v>
      </c>
      <c r="F1" s="2" t="s">
        <v>5</v>
      </c>
      <c r="G1" s="2" t="s">
        <v>6</v>
      </c>
      <c r="H1" s="2" t="s">
        <v>7</v>
      </c>
      <c r="I1" s="2" t="s">
        <v>8</v>
      </c>
      <c r="J1" s="2" t="s">
        <v>9</v>
      </c>
    </row>
    <row r="2" spans="1:11" ht="16" customHeight="1" x14ac:dyDescent="0.35">
      <c r="A2" s="13">
        <v>44317</v>
      </c>
      <c r="B2" s="3" t="s">
        <v>10</v>
      </c>
      <c r="C2" s="3" t="s">
        <v>11</v>
      </c>
      <c r="D2" s="3" t="s">
        <v>12</v>
      </c>
      <c r="E2" s="3" t="s">
        <v>13</v>
      </c>
      <c r="F2" s="3">
        <v>4500</v>
      </c>
      <c r="G2" s="3">
        <v>2</v>
      </c>
      <c r="H2" s="3">
        <v>500</v>
      </c>
      <c r="I2" s="3" t="s">
        <v>14</v>
      </c>
      <c r="J2" s="3">
        <v>2021</v>
      </c>
      <c r="K2" s="1"/>
    </row>
    <row r="3" spans="1:11" x14ac:dyDescent="0.35">
      <c r="A3" s="13" t="s">
        <v>91</v>
      </c>
      <c r="B3" s="3" t="s">
        <v>15</v>
      </c>
      <c r="C3" s="3" t="s">
        <v>16</v>
      </c>
      <c r="D3" s="3" t="s">
        <v>17</v>
      </c>
      <c r="E3" s="3" t="s">
        <v>18</v>
      </c>
      <c r="F3" s="3">
        <v>15000</v>
      </c>
      <c r="G3" s="3">
        <v>1</v>
      </c>
      <c r="H3" s="3">
        <v>2000</v>
      </c>
      <c r="I3" s="3" t="s">
        <v>14</v>
      </c>
      <c r="J3" s="3">
        <v>2021</v>
      </c>
    </row>
    <row r="4" spans="1:11" x14ac:dyDescent="0.35">
      <c r="A4" s="13">
        <v>44533</v>
      </c>
      <c r="B4" s="3" t="s">
        <v>19</v>
      </c>
      <c r="C4" s="3" t="s">
        <v>20</v>
      </c>
      <c r="D4" s="3" t="s">
        <v>21</v>
      </c>
      <c r="E4" s="3" t="s">
        <v>22</v>
      </c>
      <c r="F4" s="3">
        <v>1200</v>
      </c>
      <c r="G4" s="3">
        <v>5</v>
      </c>
      <c r="H4" s="3">
        <v>150</v>
      </c>
      <c r="I4" s="3" t="s">
        <v>14</v>
      </c>
      <c r="J4" s="3">
        <v>2021</v>
      </c>
    </row>
    <row r="5" spans="1:11" x14ac:dyDescent="0.35">
      <c r="A5" s="13" t="s">
        <v>92</v>
      </c>
      <c r="B5" s="3" t="s">
        <v>23</v>
      </c>
      <c r="C5" s="3" t="s">
        <v>24</v>
      </c>
      <c r="D5" s="3" t="s">
        <v>12</v>
      </c>
      <c r="E5" s="3" t="s">
        <v>25</v>
      </c>
      <c r="F5" s="3">
        <v>8000</v>
      </c>
      <c r="G5" s="3">
        <v>1</v>
      </c>
      <c r="H5" s="3">
        <v>1200</v>
      </c>
      <c r="I5" s="3" t="s">
        <v>14</v>
      </c>
      <c r="J5" s="3">
        <v>2021</v>
      </c>
    </row>
    <row r="6" spans="1:11" x14ac:dyDescent="0.35">
      <c r="A6" s="13">
        <v>44444</v>
      </c>
      <c r="B6" s="3" t="s">
        <v>26</v>
      </c>
      <c r="C6" s="3" t="s">
        <v>27</v>
      </c>
      <c r="D6" s="3" t="s">
        <v>17</v>
      </c>
      <c r="E6" s="3" t="s">
        <v>28</v>
      </c>
      <c r="F6" s="3">
        <v>55000</v>
      </c>
      <c r="G6" s="3">
        <v>1</v>
      </c>
      <c r="H6" s="3">
        <v>5000</v>
      </c>
      <c r="I6" s="3" t="s">
        <v>14</v>
      </c>
      <c r="J6" s="3">
        <v>2021</v>
      </c>
    </row>
    <row r="7" spans="1:11" x14ac:dyDescent="0.35">
      <c r="A7" s="13" t="s">
        <v>93</v>
      </c>
      <c r="B7" s="3" t="s">
        <v>29</v>
      </c>
      <c r="C7" s="3" t="s">
        <v>30</v>
      </c>
      <c r="D7" s="3" t="s">
        <v>21</v>
      </c>
      <c r="E7" s="3" t="s">
        <v>31</v>
      </c>
      <c r="F7" s="3">
        <v>900</v>
      </c>
      <c r="G7" s="3">
        <v>10</v>
      </c>
      <c r="H7" s="3">
        <v>120</v>
      </c>
      <c r="I7" s="3" t="s">
        <v>32</v>
      </c>
      <c r="J7" s="3">
        <v>2021</v>
      </c>
    </row>
    <row r="8" spans="1:11" x14ac:dyDescent="0.35">
      <c r="A8" s="13" t="s">
        <v>94</v>
      </c>
      <c r="B8" s="3" t="s">
        <v>33</v>
      </c>
      <c r="C8" s="3" t="s">
        <v>34</v>
      </c>
      <c r="D8" s="3" t="s">
        <v>12</v>
      </c>
      <c r="E8" s="3" t="s">
        <v>35</v>
      </c>
      <c r="F8" s="3">
        <v>7000</v>
      </c>
      <c r="G8" s="3">
        <v>2</v>
      </c>
      <c r="H8" s="3">
        <v>800</v>
      </c>
      <c r="I8" s="3" t="s">
        <v>32</v>
      </c>
      <c r="J8" s="3">
        <v>2021</v>
      </c>
    </row>
    <row r="9" spans="1:11" x14ac:dyDescent="0.35">
      <c r="A9" s="13">
        <v>44263</v>
      </c>
      <c r="B9" s="3" t="s">
        <v>36</v>
      </c>
      <c r="C9" s="3" t="s">
        <v>11</v>
      </c>
      <c r="D9" s="3" t="s">
        <v>17</v>
      </c>
      <c r="E9" s="3" t="s">
        <v>37</v>
      </c>
      <c r="F9" s="3">
        <v>2500</v>
      </c>
      <c r="G9" s="3">
        <v>3</v>
      </c>
      <c r="H9" s="3">
        <v>300</v>
      </c>
      <c r="I9" s="3" t="s">
        <v>32</v>
      </c>
      <c r="J9" s="3">
        <v>2021</v>
      </c>
    </row>
    <row r="10" spans="1:11" x14ac:dyDescent="0.35">
      <c r="A10" s="13" t="s">
        <v>95</v>
      </c>
      <c r="B10" s="3" t="s">
        <v>38</v>
      </c>
      <c r="C10" s="3" t="s">
        <v>39</v>
      </c>
      <c r="D10" s="3" t="s">
        <v>21</v>
      </c>
      <c r="E10" s="3" t="s">
        <v>40</v>
      </c>
      <c r="F10" s="3">
        <v>3200</v>
      </c>
      <c r="G10" s="3">
        <v>4</v>
      </c>
      <c r="H10" s="3">
        <v>400</v>
      </c>
      <c r="I10" s="3" t="s">
        <v>32</v>
      </c>
      <c r="J10" s="3">
        <v>2021</v>
      </c>
    </row>
    <row r="11" spans="1:11" x14ac:dyDescent="0.35">
      <c r="A11" s="13" t="s">
        <v>96</v>
      </c>
      <c r="B11" s="3" t="s">
        <v>41</v>
      </c>
      <c r="C11" s="3" t="s">
        <v>16</v>
      </c>
      <c r="D11" s="3" t="s">
        <v>12</v>
      </c>
      <c r="E11" s="3" t="s">
        <v>42</v>
      </c>
      <c r="F11" s="3">
        <v>1800</v>
      </c>
      <c r="G11" s="3">
        <v>6</v>
      </c>
      <c r="H11" s="3">
        <v>200</v>
      </c>
      <c r="I11" s="3" t="s">
        <v>32</v>
      </c>
      <c r="J11" s="3">
        <v>2021</v>
      </c>
    </row>
    <row r="12" spans="1:11" x14ac:dyDescent="0.35">
      <c r="A12" s="13">
        <v>44774</v>
      </c>
      <c r="B12" s="3" t="s">
        <v>43</v>
      </c>
      <c r="C12" s="3" t="s">
        <v>20</v>
      </c>
      <c r="D12" s="3" t="s">
        <v>17</v>
      </c>
      <c r="E12" s="3" t="s">
        <v>18</v>
      </c>
      <c r="F12" s="3">
        <v>22000</v>
      </c>
      <c r="G12" s="3">
        <v>2</v>
      </c>
      <c r="H12" s="3">
        <v>2500</v>
      </c>
      <c r="I12" s="3" t="s">
        <v>44</v>
      </c>
      <c r="J12" s="3">
        <v>2022</v>
      </c>
    </row>
    <row r="13" spans="1:11" x14ac:dyDescent="0.35">
      <c r="A13" s="13" t="s">
        <v>98</v>
      </c>
      <c r="B13" s="3" t="s">
        <v>45</v>
      </c>
      <c r="C13" s="3" t="s">
        <v>46</v>
      </c>
      <c r="D13" s="3" t="s">
        <v>21</v>
      </c>
      <c r="E13" s="3" t="s">
        <v>47</v>
      </c>
      <c r="F13" s="3">
        <v>1500</v>
      </c>
      <c r="G13" s="3">
        <v>3</v>
      </c>
      <c r="H13" s="3">
        <v>180</v>
      </c>
      <c r="I13" s="3" t="s">
        <v>44</v>
      </c>
      <c r="J13" s="3">
        <v>2022</v>
      </c>
    </row>
    <row r="14" spans="1:11" x14ac:dyDescent="0.35">
      <c r="A14" s="13" t="s">
        <v>97</v>
      </c>
      <c r="B14" s="3" t="s">
        <v>48</v>
      </c>
      <c r="C14" s="3" t="s">
        <v>49</v>
      </c>
      <c r="D14" s="3" t="s">
        <v>12</v>
      </c>
      <c r="E14" s="3" t="s">
        <v>13</v>
      </c>
      <c r="F14" s="3">
        <v>6000</v>
      </c>
      <c r="G14" s="3">
        <v>3</v>
      </c>
      <c r="H14" s="3">
        <v>750</v>
      </c>
      <c r="I14" s="3" t="s">
        <v>44</v>
      </c>
      <c r="J14" s="3">
        <v>2022</v>
      </c>
    </row>
    <row r="15" spans="1:11" x14ac:dyDescent="0.35">
      <c r="A15" s="13" t="s">
        <v>99</v>
      </c>
      <c r="B15" s="3" t="s">
        <v>50</v>
      </c>
      <c r="C15" s="3" t="s">
        <v>51</v>
      </c>
      <c r="D15" s="3" t="s">
        <v>17</v>
      </c>
      <c r="E15" s="3" t="s">
        <v>28</v>
      </c>
      <c r="F15" s="3">
        <v>48000</v>
      </c>
      <c r="G15" s="3">
        <v>1</v>
      </c>
      <c r="H15" s="3">
        <v>4500</v>
      </c>
      <c r="I15" s="3" t="s">
        <v>44</v>
      </c>
      <c r="J15" s="3">
        <v>2022</v>
      </c>
    </row>
    <row r="16" spans="1:11" x14ac:dyDescent="0.35">
      <c r="A16" s="13">
        <v>44839</v>
      </c>
      <c r="B16" s="3" t="s">
        <v>52</v>
      </c>
      <c r="C16" s="3" t="s">
        <v>53</v>
      </c>
      <c r="D16" s="3" t="s">
        <v>21</v>
      </c>
      <c r="E16" s="3" t="s">
        <v>54</v>
      </c>
      <c r="F16" s="3">
        <v>700</v>
      </c>
      <c r="G16" s="3">
        <v>8</v>
      </c>
      <c r="H16" s="3">
        <v>90</v>
      </c>
      <c r="I16" s="3" t="s">
        <v>44</v>
      </c>
      <c r="J16" s="3">
        <v>2022</v>
      </c>
    </row>
    <row r="17" spans="1:10" x14ac:dyDescent="0.35">
      <c r="A17" s="13" t="s">
        <v>101</v>
      </c>
      <c r="B17" s="3" t="s">
        <v>55</v>
      </c>
      <c r="C17" s="3" t="s">
        <v>56</v>
      </c>
      <c r="D17" s="3" t="s">
        <v>12</v>
      </c>
      <c r="E17" s="3" t="s">
        <v>25</v>
      </c>
      <c r="F17" s="3">
        <v>9500</v>
      </c>
      <c r="G17" s="3">
        <v>2</v>
      </c>
      <c r="H17" s="3">
        <v>1100</v>
      </c>
      <c r="I17" s="3" t="s">
        <v>44</v>
      </c>
      <c r="J17" s="3">
        <v>2022</v>
      </c>
    </row>
    <row r="18" spans="1:10" x14ac:dyDescent="0.35">
      <c r="A18" s="13">
        <v>44688</v>
      </c>
      <c r="B18" s="3" t="s">
        <v>57</v>
      </c>
      <c r="C18" s="3" t="s">
        <v>11</v>
      </c>
      <c r="D18" s="3" t="s">
        <v>17</v>
      </c>
      <c r="E18" s="3" t="s">
        <v>37</v>
      </c>
      <c r="F18" s="3">
        <v>3000</v>
      </c>
      <c r="G18" s="3">
        <v>4</v>
      </c>
      <c r="H18" s="3">
        <v>350</v>
      </c>
      <c r="I18" s="3" t="s">
        <v>58</v>
      </c>
      <c r="J18" s="3">
        <v>2022</v>
      </c>
    </row>
    <row r="19" spans="1:10" x14ac:dyDescent="0.35">
      <c r="A19" s="13" t="s">
        <v>102</v>
      </c>
      <c r="B19" s="3" t="s">
        <v>59</v>
      </c>
      <c r="C19" s="3" t="s">
        <v>24</v>
      </c>
      <c r="D19" s="3" t="s">
        <v>21</v>
      </c>
      <c r="E19" s="3" t="s">
        <v>22</v>
      </c>
      <c r="F19" s="3">
        <v>1100</v>
      </c>
      <c r="G19" s="3">
        <v>6</v>
      </c>
      <c r="H19" s="3">
        <v>140</v>
      </c>
      <c r="I19" s="3" t="s">
        <v>58</v>
      </c>
      <c r="J19" s="3">
        <v>2022</v>
      </c>
    </row>
    <row r="20" spans="1:10" x14ac:dyDescent="0.35">
      <c r="A20" s="13" t="s">
        <v>100</v>
      </c>
      <c r="B20" s="3" t="s">
        <v>60</v>
      </c>
      <c r="C20" s="3" t="s">
        <v>61</v>
      </c>
      <c r="D20" s="3" t="s">
        <v>12</v>
      </c>
      <c r="E20" s="3" t="s">
        <v>42</v>
      </c>
      <c r="F20" s="3">
        <v>2100</v>
      </c>
      <c r="G20" s="3">
        <v>5</v>
      </c>
      <c r="H20" s="3">
        <v>260</v>
      </c>
      <c r="I20" s="3" t="s">
        <v>58</v>
      </c>
      <c r="J20" s="3">
        <v>2022</v>
      </c>
    </row>
    <row r="21" spans="1:10" x14ac:dyDescent="0.35">
      <c r="A21" s="13">
        <v>44907</v>
      </c>
      <c r="B21" s="3" t="s">
        <v>62</v>
      </c>
      <c r="C21" s="3" t="s">
        <v>63</v>
      </c>
      <c r="D21" s="3" t="s">
        <v>17</v>
      </c>
      <c r="E21" s="3" t="s">
        <v>18</v>
      </c>
      <c r="F21" s="3">
        <v>18000</v>
      </c>
      <c r="G21" s="3">
        <v>1</v>
      </c>
      <c r="H21" s="3">
        <v>2200</v>
      </c>
      <c r="I21" s="3" t="s">
        <v>58</v>
      </c>
      <c r="J21" s="3">
        <v>2022</v>
      </c>
    </row>
    <row r="22" spans="1:10" x14ac:dyDescent="0.35">
      <c r="A22" s="13">
        <v>45017</v>
      </c>
      <c r="B22" s="3" t="s">
        <v>64</v>
      </c>
      <c r="C22" s="3" t="s">
        <v>20</v>
      </c>
      <c r="D22" s="3" t="s">
        <v>21</v>
      </c>
      <c r="E22" s="3" t="s">
        <v>31</v>
      </c>
      <c r="F22" s="3">
        <v>950</v>
      </c>
      <c r="G22" s="3">
        <v>12</v>
      </c>
      <c r="H22" s="3">
        <v>130</v>
      </c>
      <c r="I22" s="3" t="s">
        <v>58</v>
      </c>
      <c r="J22" s="3">
        <v>2023</v>
      </c>
    </row>
    <row r="23" spans="1:10" x14ac:dyDescent="0.35">
      <c r="A23" s="13" t="s">
        <v>103</v>
      </c>
      <c r="B23" s="3" t="s">
        <v>65</v>
      </c>
      <c r="C23" s="3" t="s">
        <v>16</v>
      </c>
      <c r="D23" s="3" t="s">
        <v>12</v>
      </c>
      <c r="E23" s="3" t="s">
        <v>35</v>
      </c>
      <c r="F23" s="3">
        <v>7200</v>
      </c>
      <c r="G23" s="3">
        <v>2</v>
      </c>
      <c r="H23" s="3">
        <v>850</v>
      </c>
      <c r="I23" s="3" t="s">
        <v>58</v>
      </c>
      <c r="J23" s="3">
        <v>2023</v>
      </c>
    </row>
    <row r="24" spans="1:10" x14ac:dyDescent="0.35">
      <c r="A24" s="13">
        <v>45233</v>
      </c>
      <c r="B24" s="3" t="s">
        <v>66</v>
      </c>
      <c r="C24" s="3" t="s">
        <v>11</v>
      </c>
      <c r="D24" s="3" t="s">
        <v>17</v>
      </c>
      <c r="E24" s="3" t="s">
        <v>28</v>
      </c>
      <c r="F24" s="3">
        <v>60000</v>
      </c>
      <c r="G24" s="3">
        <v>1</v>
      </c>
      <c r="H24" s="3">
        <v>5500</v>
      </c>
      <c r="I24" s="3" t="s">
        <v>58</v>
      </c>
      <c r="J24" s="3">
        <v>2023</v>
      </c>
    </row>
    <row r="25" spans="1:10" x14ac:dyDescent="0.35">
      <c r="A25" s="13" t="s">
        <v>104</v>
      </c>
      <c r="B25" s="3" t="s">
        <v>67</v>
      </c>
      <c r="C25" s="3" t="s">
        <v>34</v>
      </c>
      <c r="D25" s="3" t="s">
        <v>21</v>
      </c>
      <c r="E25" s="3" t="s">
        <v>40</v>
      </c>
      <c r="F25" s="3">
        <v>2800</v>
      </c>
      <c r="G25" s="3">
        <v>3</v>
      </c>
      <c r="H25" s="3">
        <v>320</v>
      </c>
      <c r="I25" s="3" t="s">
        <v>58</v>
      </c>
      <c r="J25" s="3">
        <v>2023</v>
      </c>
    </row>
    <row r="26" spans="1:10" x14ac:dyDescent="0.35">
      <c r="A26" s="13">
        <v>45112</v>
      </c>
      <c r="B26" s="3" t="s">
        <v>68</v>
      </c>
      <c r="C26" s="3" t="s">
        <v>49</v>
      </c>
      <c r="D26" s="3" t="s">
        <v>12</v>
      </c>
      <c r="E26" s="3" t="s">
        <v>13</v>
      </c>
      <c r="F26" s="3">
        <v>5000</v>
      </c>
      <c r="G26" s="3">
        <v>2</v>
      </c>
      <c r="H26" s="3">
        <v>600</v>
      </c>
      <c r="I26" s="3" t="s">
        <v>58</v>
      </c>
      <c r="J26" s="3">
        <v>2023</v>
      </c>
    </row>
    <row r="27" spans="1:10" x14ac:dyDescent="0.35">
      <c r="A27" s="13" t="s">
        <v>105</v>
      </c>
      <c r="B27" s="3" t="s">
        <v>69</v>
      </c>
      <c r="C27" s="3" t="s">
        <v>27</v>
      </c>
      <c r="D27" s="3" t="s">
        <v>17</v>
      </c>
      <c r="E27" s="3" t="s">
        <v>37</v>
      </c>
      <c r="F27" s="3">
        <v>2700</v>
      </c>
      <c r="G27" s="3">
        <v>4</v>
      </c>
      <c r="H27" s="3">
        <v>310</v>
      </c>
      <c r="I27" s="3" t="s">
        <v>70</v>
      </c>
      <c r="J27" s="3">
        <v>2023</v>
      </c>
    </row>
    <row r="28" spans="1:10" x14ac:dyDescent="0.35">
      <c r="A28" s="13">
        <v>44964</v>
      </c>
      <c r="B28" s="3" t="s">
        <v>71</v>
      </c>
      <c r="C28" s="3" t="s">
        <v>56</v>
      </c>
      <c r="D28" s="3" t="s">
        <v>21</v>
      </c>
      <c r="E28" s="3" t="s">
        <v>47</v>
      </c>
      <c r="F28" s="3">
        <v>1300</v>
      </c>
      <c r="G28" s="3">
        <v>5</v>
      </c>
      <c r="H28" s="3">
        <v>170</v>
      </c>
      <c r="I28" s="3" t="s">
        <v>70</v>
      </c>
      <c r="J28" s="3">
        <v>2023</v>
      </c>
    </row>
    <row r="29" spans="1:10" x14ac:dyDescent="0.35">
      <c r="A29" s="13" t="s">
        <v>106</v>
      </c>
      <c r="B29" s="3" t="s">
        <v>72</v>
      </c>
      <c r="C29" s="3" t="s">
        <v>46</v>
      </c>
      <c r="D29" s="3" t="s">
        <v>12</v>
      </c>
      <c r="E29" s="3" t="s">
        <v>25</v>
      </c>
      <c r="F29" s="3">
        <v>8700</v>
      </c>
      <c r="G29" s="3">
        <v>1</v>
      </c>
      <c r="H29" s="3">
        <v>1050</v>
      </c>
      <c r="I29" s="3" t="s">
        <v>70</v>
      </c>
      <c r="J29" s="3">
        <v>2023</v>
      </c>
    </row>
    <row r="30" spans="1:10" x14ac:dyDescent="0.35">
      <c r="A30" s="13" t="s">
        <v>107</v>
      </c>
      <c r="B30" s="3" t="s">
        <v>73</v>
      </c>
      <c r="C30" s="3" t="s">
        <v>20</v>
      </c>
      <c r="D30" s="3" t="s">
        <v>17</v>
      </c>
      <c r="E30" s="3" t="s">
        <v>18</v>
      </c>
      <c r="F30" s="3">
        <v>24000</v>
      </c>
      <c r="G30" s="3">
        <v>2</v>
      </c>
      <c r="H30" s="3">
        <v>2800</v>
      </c>
      <c r="I30" s="3" t="s">
        <v>70</v>
      </c>
      <c r="J30" s="3">
        <v>2023</v>
      </c>
    </row>
    <row r="31" spans="1:10" x14ac:dyDescent="0.35">
      <c r="A31" s="13">
        <v>45210</v>
      </c>
      <c r="B31" s="3" t="s">
        <v>74</v>
      </c>
      <c r="C31" s="3" t="s">
        <v>53</v>
      </c>
      <c r="D31" s="3" t="s">
        <v>21</v>
      </c>
      <c r="E31" s="3" t="s">
        <v>54</v>
      </c>
      <c r="F31" s="3">
        <v>750</v>
      </c>
      <c r="G31" s="3">
        <v>9</v>
      </c>
      <c r="H31" s="3">
        <v>95</v>
      </c>
      <c r="I31" s="3" t="s">
        <v>70</v>
      </c>
      <c r="J31" s="3">
        <v>2023</v>
      </c>
    </row>
    <row r="32" spans="1:10" x14ac:dyDescent="0.35">
      <c r="A32" s="13">
        <v>45536</v>
      </c>
      <c r="B32" s="3" t="s">
        <v>75</v>
      </c>
      <c r="C32" s="3" t="s">
        <v>16</v>
      </c>
      <c r="D32" s="3" t="s">
        <v>12</v>
      </c>
      <c r="E32" s="3" t="s">
        <v>42</v>
      </c>
      <c r="F32" s="3">
        <v>1900</v>
      </c>
      <c r="G32" s="3">
        <v>6</v>
      </c>
      <c r="H32" s="3">
        <v>220</v>
      </c>
      <c r="I32" s="3" t="s">
        <v>70</v>
      </c>
      <c r="J32" s="3">
        <v>2024</v>
      </c>
    </row>
    <row r="33" spans="1:10" x14ac:dyDescent="0.35">
      <c r="A33" s="13" t="s">
        <v>108</v>
      </c>
      <c r="B33" s="3" t="s">
        <v>76</v>
      </c>
      <c r="C33" s="3" t="s">
        <v>30</v>
      </c>
      <c r="D33" s="3" t="s">
        <v>17</v>
      </c>
      <c r="E33" s="3" t="s">
        <v>28</v>
      </c>
      <c r="F33" s="3">
        <v>52000</v>
      </c>
      <c r="G33" s="3">
        <v>1</v>
      </c>
      <c r="H33" s="3">
        <v>4800</v>
      </c>
      <c r="I33" s="3" t="s">
        <v>70</v>
      </c>
      <c r="J33" s="3">
        <v>2024</v>
      </c>
    </row>
    <row r="34" spans="1:10" x14ac:dyDescent="0.35">
      <c r="A34" s="13" t="s">
        <v>109</v>
      </c>
      <c r="B34" s="3" t="s">
        <v>77</v>
      </c>
      <c r="C34" s="3" t="s">
        <v>49</v>
      </c>
      <c r="D34" s="3" t="s">
        <v>21</v>
      </c>
      <c r="E34" s="3" t="s">
        <v>22</v>
      </c>
      <c r="F34" s="3">
        <v>1400</v>
      </c>
      <c r="G34" s="3">
        <v>7</v>
      </c>
      <c r="H34" s="3">
        <v>160</v>
      </c>
      <c r="I34" s="3" t="s">
        <v>70</v>
      </c>
      <c r="J34" s="3">
        <v>2024</v>
      </c>
    </row>
    <row r="35" spans="1:10" x14ac:dyDescent="0.35">
      <c r="A35" s="13" t="s">
        <v>110</v>
      </c>
      <c r="B35" s="3" t="s">
        <v>78</v>
      </c>
      <c r="C35" s="3" t="s">
        <v>61</v>
      </c>
      <c r="D35" s="3" t="s">
        <v>12</v>
      </c>
      <c r="E35" s="3" t="s">
        <v>35</v>
      </c>
      <c r="F35" s="3">
        <v>7600</v>
      </c>
      <c r="G35" s="3">
        <v>2</v>
      </c>
      <c r="H35" s="3">
        <v>900</v>
      </c>
      <c r="I35" s="3" t="s">
        <v>79</v>
      </c>
      <c r="J35" s="3">
        <v>2024</v>
      </c>
    </row>
    <row r="36" spans="1:10" x14ac:dyDescent="0.35">
      <c r="A36" s="13">
        <v>45509</v>
      </c>
      <c r="B36" s="3" t="s">
        <v>80</v>
      </c>
      <c r="C36" s="3" t="s">
        <v>34</v>
      </c>
      <c r="D36" s="3" t="s">
        <v>17</v>
      </c>
      <c r="E36" s="3" t="s">
        <v>37</v>
      </c>
      <c r="F36" s="3">
        <v>3200</v>
      </c>
      <c r="G36" s="3">
        <v>5</v>
      </c>
      <c r="H36" s="3">
        <v>400</v>
      </c>
      <c r="I36" s="3" t="s">
        <v>79</v>
      </c>
      <c r="J36" s="3">
        <v>2024</v>
      </c>
    </row>
    <row r="37" spans="1:10" x14ac:dyDescent="0.35">
      <c r="A37" s="13" t="s">
        <v>111</v>
      </c>
      <c r="B37" s="3" t="s">
        <v>81</v>
      </c>
      <c r="C37" s="3" t="s">
        <v>63</v>
      </c>
      <c r="D37" s="3" t="s">
        <v>21</v>
      </c>
      <c r="E37" s="3" t="s">
        <v>31</v>
      </c>
      <c r="F37" s="3">
        <v>980</v>
      </c>
      <c r="G37" s="3">
        <v>11</v>
      </c>
      <c r="H37" s="3">
        <v>125</v>
      </c>
      <c r="I37" s="3" t="s">
        <v>79</v>
      </c>
      <c r="J37" s="3">
        <v>2024</v>
      </c>
    </row>
    <row r="38" spans="1:10" x14ac:dyDescent="0.35">
      <c r="A38" s="13">
        <v>45358</v>
      </c>
      <c r="B38" s="3" t="s">
        <v>82</v>
      </c>
      <c r="C38" s="3" t="s">
        <v>56</v>
      </c>
      <c r="D38" s="3" t="s">
        <v>12</v>
      </c>
      <c r="E38" s="3" t="s">
        <v>13</v>
      </c>
      <c r="F38" s="3">
        <v>6400</v>
      </c>
      <c r="G38" s="3">
        <v>3</v>
      </c>
      <c r="H38" s="3">
        <v>780</v>
      </c>
      <c r="I38" s="3" t="s">
        <v>79</v>
      </c>
      <c r="J38" s="3">
        <v>2024</v>
      </c>
    </row>
    <row r="39" spans="1:10" x14ac:dyDescent="0.35">
      <c r="A39" s="13" t="s">
        <v>112</v>
      </c>
      <c r="B39" s="3" t="s">
        <v>83</v>
      </c>
      <c r="C39" s="3" t="s">
        <v>39</v>
      </c>
      <c r="D39" s="3" t="s">
        <v>17</v>
      </c>
      <c r="E39" s="3" t="s">
        <v>18</v>
      </c>
      <c r="F39" s="3">
        <v>26000</v>
      </c>
      <c r="G39" s="3">
        <v>2</v>
      </c>
      <c r="H39" s="3">
        <v>3000</v>
      </c>
      <c r="I39" s="3" t="s">
        <v>79</v>
      </c>
      <c r="J39" s="3">
        <v>2024</v>
      </c>
    </row>
    <row r="40" spans="1:10" x14ac:dyDescent="0.35">
      <c r="A40" s="13" t="s">
        <v>113</v>
      </c>
      <c r="B40" s="3" t="s">
        <v>84</v>
      </c>
      <c r="C40" s="3" t="s">
        <v>27</v>
      </c>
      <c r="D40" s="3" t="s">
        <v>21</v>
      </c>
      <c r="E40" s="3" t="s">
        <v>40</v>
      </c>
      <c r="F40" s="3">
        <v>3500</v>
      </c>
      <c r="G40" s="3">
        <v>4</v>
      </c>
      <c r="H40" s="3">
        <v>450</v>
      </c>
      <c r="I40" s="3" t="s">
        <v>79</v>
      </c>
      <c r="J40" s="3">
        <v>2024</v>
      </c>
    </row>
    <row r="41" spans="1:10" x14ac:dyDescent="0.35">
      <c r="A41" s="13">
        <v>45608</v>
      </c>
      <c r="B41" s="3" t="s">
        <v>85</v>
      </c>
      <c r="C41" s="3" t="s">
        <v>11</v>
      </c>
      <c r="D41" s="3" t="s">
        <v>12</v>
      </c>
      <c r="E41" s="3" t="s">
        <v>25</v>
      </c>
      <c r="F41" s="3">
        <v>9100</v>
      </c>
      <c r="G41" s="3">
        <v>1</v>
      </c>
      <c r="H41" s="3">
        <v>1150</v>
      </c>
      <c r="I41" s="3" t="s">
        <v>79</v>
      </c>
      <c r="J41" s="3">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2"/>
  <sheetViews>
    <sheetView showGridLines="0" topLeftCell="P1" zoomScale="90" zoomScaleNormal="90" workbookViewId="0">
      <selection activeCell="AD3" sqref="AD3"/>
    </sheetView>
  </sheetViews>
  <sheetFormatPr defaultRowHeight="14.5" x14ac:dyDescent="0.35"/>
  <cols>
    <col min="1" max="1" width="12" customWidth="1"/>
    <col min="2" max="2" width="4.26953125" customWidth="1"/>
    <col min="3" max="3" width="12.90625" customWidth="1"/>
    <col min="4" max="4" width="15.81640625" bestFit="1" customWidth="1"/>
    <col min="5" max="5" width="13.54296875" customWidth="1"/>
    <col min="6" max="6" width="10.453125" customWidth="1"/>
    <col min="7" max="7" width="11" customWidth="1"/>
    <col min="8" max="8" width="3.26953125" customWidth="1"/>
    <col min="9" max="9" width="12.90625" customWidth="1"/>
    <col min="10" max="10" width="18" customWidth="1"/>
    <col min="11" max="11" width="4.54296875" customWidth="1"/>
    <col min="12" max="12" width="12.453125" customWidth="1"/>
    <col min="13" max="13" width="10.6328125" customWidth="1"/>
    <col min="14" max="14" width="4.6328125" customWidth="1"/>
    <col min="15" max="15" width="16.453125" customWidth="1"/>
    <col min="16" max="16" width="10.6328125" customWidth="1"/>
    <col min="17" max="17" width="4.1796875" customWidth="1"/>
    <col min="18" max="18" width="12.90625" customWidth="1"/>
    <col min="19" max="19" width="22.7265625" customWidth="1"/>
    <col min="20" max="20" width="4.453125" customWidth="1"/>
    <col min="21" max="21" width="15.1796875" customWidth="1"/>
    <col min="22" max="22" width="11.54296875" customWidth="1"/>
    <col min="23" max="23" width="5" customWidth="1"/>
    <col min="24" max="24" width="16.453125" customWidth="1"/>
    <col min="25" max="25" width="11.1796875" bestFit="1" customWidth="1"/>
    <col min="26" max="26" width="3.6328125" customWidth="1"/>
    <col min="27" max="27" width="12.90625" customWidth="1"/>
    <col min="28" max="28" width="14.54296875" customWidth="1"/>
    <col min="29" max="29" width="4" customWidth="1"/>
    <col min="30" max="30" width="12.90625" customWidth="1"/>
    <col min="31" max="31" width="11.54296875" customWidth="1"/>
  </cols>
  <sheetData>
    <row r="1" spans="1:31" ht="19.5" x14ac:dyDescent="0.45">
      <c r="A1" s="24" t="s">
        <v>115</v>
      </c>
      <c r="C1" s="26" t="s">
        <v>88</v>
      </c>
      <c r="D1" s="26"/>
      <c r="E1" s="25"/>
      <c r="F1" s="25"/>
      <c r="G1" s="25"/>
      <c r="I1" s="26" t="s">
        <v>116</v>
      </c>
      <c r="J1" s="26"/>
    </row>
    <row r="2" spans="1:31" ht="20" thickBot="1" x14ac:dyDescent="0.5">
      <c r="A2" t="s">
        <v>86</v>
      </c>
      <c r="C2" s="12" t="s">
        <v>87</v>
      </c>
      <c r="D2" s="12" t="s">
        <v>122</v>
      </c>
      <c r="I2" s="12" t="s">
        <v>89</v>
      </c>
      <c r="J2" t="s">
        <v>86</v>
      </c>
      <c r="L2" s="19" t="s">
        <v>3</v>
      </c>
      <c r="M2" s="19" t="s">
        <v>5</v>
      </c>
      <c r="N2" s="14"/>
      <c r="O2" s="15" t="s">
        <v>1</v>
      </c>
      <c r="P2" s="7" t="s">
        <v>9</v>
      </c>
      <c r="R2" s="26" t="s">
        <v>118</v>
      </c>
      <c r="S2" s="26"/>
      <c r="U2" s="26" t="s">
        <v>119</v>
      </c>
      <c r="V2" s="26"/>
      <c r="AA2" s="26" t="s">
        <v>120</v>
      </c>
      <c r="AB2" s="26"/>
      <c r="AD2" s="26" t="s">
        <v>121</v>
      </c>
      <c r="AE2" s="26"/>
    </row>
    <row r="3" spans="1:31" ht="15" thickTop="1" x14ac:dyDescent="0.35">
      <c r="A3" s="22">
        <v>436480</v>
      </c>
      <c r="C3" s="12" t="s">
        <v>89</v>
      </c>
      <c r="D3" t="s">
        <v>12</v>
      </c>
      <c r="E3" t="s">
        <v>21</v>
      </c>
      <c r="F3" t="s">
        <v>17</v>
      </c>
      <c r="G3" t="s">
        <v>90</v>
      </c>
      <c r="I3" s="4" t="s">
        <v>54</v>
      </c>
      <c r="J3" s="22">
        <v>1450</v>
      </c>
      <c r="L3" s="4" t="str">
        <f t="shared" ref="L3:L14" si="0">I3</f>
        <v>Envelopes</v>
      </c>
      <c r="M3" s="23">
        <f t="shared" ref="M3:M14" si="1">GETPIVOTDATA("Sales",$I$2,"Sub-Category",L3)</f>
        <v>1450</v>
      </c>
      <c r="O3" s="16" t="s">
        <v>10</v>
      </c>
      <c r="P3" s="8">
        <v>2021</v>
      </c>
      <c r="R3" s="12" t="s">
        <v>89</v>
      </c>
      <c r="S3" t="s">
        <v>117</v>
      </c>
      <c r="U3" s="12" t="s">
        <v>89</v>
      </c>
      <c r="V3" t="s">
        <v>86</v>
      </c>
      <c r="X3" s="19" t="s">
        <v>2</v>
      </c>
      <c r="Y3" s="19" t="s">
        <v>5</v>
      </c>
      <c r="Z3" s="19"/>
      <c r="AA3" s="12" t="s">
        <v>89</v>
      </c>
      <c r="AB3" t="s">
        <v>87</v>
      </c>
      <c r="AD3" s="12" t="s">
        <v>89</v>
      </c>
      <c r="AE3" t="s">
        <v>86</v>
      </c>
    </row>
    <row r="4" spans="1:31" x14ac:dyDescent="0.35">
      <c r="C4" s="4">
        <v>2024</v>
      </c>
      <c r="D4" s="22">
        <v>3050</v>
      </c>
      <c r="E4" s="22">
        <v>735</v>
      </c>
      <c r="F4" s="22">
        <v>8200</v>
      </c>
      <c r="G4" s="22">
        <v>11985</v>
      </c>
      <c r="I4" s="4" t="s">
        <v>47</v>
      </c>
      <c r="J4" s="22">
        <v>2800</v>
      </c>
      <c r="L4" s="4" t="str">
        <f t="shared" si="0"/>
        <v>Art</v>
      </c>
      <c r="M4" s="23">
        <f t="shared" si="1"/>
        <v>2800</v>
      </c>
      <c r="O4" s="17" t="s">
        <v>15</v>
      </c>
      <c r="P4" s="9">
        <v>2021</v>
      </c>
      <c r="R4" s="4">
        <v>2021</v>
      </c>
      <c r="S4" s="11">
        <v>10</v>
      </c>
      <c r="U4" s="4" t="s">
        <v>51</v>
      </c>
      <c r="V4" s="20">
        <v>48000</v>
      </c>
      <c r="X4" s="4" t="str">
        <f>U4</f>
        <v>Andhra Pradesh</v>
      </c>
      <c r="Y4" s="21">
        <f>GETPIVOTDATA("Sales",$U$3,"State",X4)</f>
        <v>48000</v>
      </c>
      <c r="Z4" s="4"/>
      <c r="AA4" s="4" t="s">
        <v>83</v>
      </c>
      <c r="AB4" s="20">
        <v>3000</v>
      </c>
      <c r="AD4" s="4" t="s">
        <v>14</v>
      </c>
      <c r="AE4" s="20">
        <v>83700</v>
      </c>
    </row>
    <row r="5" spans="1:31" ht="19.5" x14ac:dyDescent="0.45">
      <c r="A5" s="24" t="s">
        <v>114</v>
      </c>
      <c r="C5" s="4">
        <v>2021</v>
      </c>
      <c r="D5" s="22">
        <v>2700</v>
      </c>
      <c r="E5" s="22">
        <v>670</v>
      </c>
      <c r="F5" s="22">
        <v>7300</v>
      </c>
      <c r="G5" s="22">
        <v>10670</v>
      </c>
      <c r="I5" s="4" t="s">
        <v>31</v>
      </c>
      <c r="J5" s="22">
        <v>2830</v>
      </c>
      <c r="L5" s="4" t="str">
        <f t="shared" si="0"/>
        <v>Paper</v>
      </c>
      <c r="M5" s="23">
        <f t="shared" si="1"/>
        <v>2830</v>
      </c>
      <c r="O5" s="16" t="s">
        <v>19</v>
      </c>
      <c r="P5" s="8">
        <v>2021</v>
      </c>
      <c r="R5" s="4">
        <v>2022</v>
      </c>
      <c r="S5" s="11">
        <v>10</v>
      </c>
      <c r="U5" s="4" t="s">
        <v>63</v>
      </c>
      <c r="V5" s="20">
        <v>18980</v>
      </c>
      <c r="X5" s="4" t="str">
        <f t="shared" ref="X5:X18" si="2">U5</f>
        <v>Assam</v>
      </c>
      <c r="Y5" s="21">
        <f t="shared" ref="Y5:Y18" si="3">GETPIVOTDATA("Sales",$U$3,"State",X5)</f>
        <v>18980</v>
      </c>
      <c r="Z5" s="4"/>
      <c r="AA5" s="4" t="s">
        <v>50</v>
      </c>
      <c r="AB5" s="20">
        <v>4500</v>
      </c>
      <c r="AD5" s="4" t="s">
        <v>32</v>
      </c>
      <c r="AE5" s="20">
        <v>15400</v>
      </c>
    </row>
    <row r="6" spans="1:31" x14ac:dyDescent="0.35">
      <c r="A6" t="s">
        <v>87</v>
      </c>
      <c r="C6" s="4">
        <v>2022</v>
      </c>
      <c r="D6" s="22">
        <v>2110</v>
      </c>
      <c r="E6" s="22">
        <v>410</v>
      </c>
      <c r="F6" s="22">
        <v>9550</v>
      </c>
      <c r="G6" s="22">
        <v>12070</v>
      </c>
      <c r="I6" s="4" t="s">
        <v>22</v>
      </c>
      <c r="J6" s="22">
        <v>3700</v>
      </c>
      <c r="L6" s="4" t="str">
        <f t="shared" si="0"/>
        <v>Binders</v>
      </c>
      <c r="M6" s="23">
        <f t="shared" si="1"/>
        <v>3700</v>
      </c>
      <c r="O6" s="17" t="s">
        <v>23</v>
      </c>
      <c r="P6" s="9">
        <v>2021</v>
      </c>
      <c r="R6" s="4">
        <v>2023</v>
      </c>
      <c r="S6" s="11">
        <v>10</v>
      </c>
      <c r="U6" s="4" t="s">
        <v>20</v>
      </c>
      <c r="V6" s="20">
        <v>48150</v>
      </c>
      <c r="X6" s="4" t="str">
        <f t="shared" si="2"/>
        <v>Delhi</v>
      </c>
      <c r="Y6" s="21">
        <f t="shared" si="3"/>
        <v>48150</v>
      </c>
      <c r="Z6" s="4"/>
      <c r="AA6" s="4" t="s">
        <v>76</v>
      </c>
      <c r="AB6" s="20">
        <v>4800</v>
      </c>
      <c r="AD6" s="4" t="s">
        <v>44</v>
      </c>
      <c r="AE6" s="20">
        <v>87700</v>
      </c>
    </row>
    <row r="7" spans="1:31" x14ac:dyDescent="0.35">
      <c r="A7" s="22">
        <v>46550</v>
      </c>
      <c r="C7" s="4">
        <v>2023</v>
      </c>
      <c r="D7" s="22">
        <v>2500</v>
      </c>
      <c r="E7" s="22">
        <v>715</v>
      </c>
      <c r="F7" s="22">
        <v>8610</v>
      </c>
      <c r="G7" s="22">
        <v>11825</v>
      </c>
      <c r="I7" s="4" t="s">
        <v>42</v>
      </c>
      <c r="J7" s="22">
        <v>5800</v>
      </c>
      <c r="L7" s="4" t="str">
        <f t="shared" si="0"/>
        <v>Furnishings</v>
      </c>
      <c r="M7" s="23">
        <f t="shared" si="1"/>
        <v>5800</v>
      </c>
      <c r="O7" s="16" t="s">
        <v>26</v>
      </c>
      <c r="P7" s="8">
        <v>2021</v>
      </c>
      <c r="R7" s="4">
        <v>2024</v>
      </c>
      <c r="S7" s="11">
        <v>10</v>
      </c>
      <c r="U7" s="4" t="s">
        <v>16</v>
      </c>
      <c r="V7" s="20">
        <v>25900</v>
      </c>
      <c r="X7" s="4" t="str">
        <f t="shared" si="2"/>
        <v>Gujarat</v>
      </c>
      <c r="Y7" s="21">
        <f t="shared" si="3"/>
        <v>25900</v>
      </c>
      <c r="Z7" s="4"/>
      <c r="AA7" s="4" t="s">
        <v>26</v>
      </c>
      <c r="AB7" s="20">
        <v>5000</v>
      </c>
      <c r="AD7" s="4" t="s">
        <v>58</v>
      </c>
      <c r="AE7" s="20">
        <v>100150</v>
      </c>
    </row>
    <row r="8" spans="1:31" x14ac:dyDescent="0.35">
      <c r="C8" s="4" t="s">
        <v>90</v>
      </c>
      <c r="D8" s="22">
        <v>10360</v>
      </c>
      <c r="E8" s="22">
        <v>2530</v>
      </c>
      <c r="F8" s="22">
        <v>33660</v>
      </c>
      <c r="G8" s="22">
        <v>46550</v>
      </c>
      <c r="I8" s="4" t="s">
        <v>40</v>
      </c>
      <c r="J8" s="22">
        <v>9500</v>
      </c>
      <c r="L8" s="4" t="str">
        <f t="shared" si="0"/>
        <v>Storage</v>
      </c>
      <c r="M8" s="23">
        <f t="shared" si="1"/>
        <v>9500</v>
      </c>
      <c r="O8" s="17" t="s">
        <v>29</v>
      </c>
      <c r="P8" s="9">
        <v>2021</v>
      </c>
      <c r="R8" s="4" t="s">
        <v>90</v>
      </c>
      <c r="S8" s="11">
        <v>40</v>
      </c>
      <c r="U8" s="4" t="s">
        <v>56</v>
      </c>
      <c r="V8" s="20">
        <v>17200</v>
      </c>
      <c r="X8" s="4" t="str">
        <f t="shared" si="2"/>
        <v>Haryana</v>
      </c>
      <c r="Y8" s="21">
        <f t="shared" si="3"/>
        <v>17200</v>
      </c>
      <c r="Z8" s="4"/>
      <c r="AA8" s="4" t="s">
        <v>66</v>
      </c>
      <c r="AB8" s="20">
        <v>5500</v>
      </c>
      <c r="AD8" s="4" t="s">
        <v>70</v>
      </c>
      <c r="AE8" s="20">
        <v>92750</v>
      </c>
    </row>
    <row r="9" spans="1:31" x14ac:dyDescent="0.35">
      <c r="A9" s="20">
        <f>GETPIVOTDATA("Sales",$A$2)</f>
        <v>436480</v>
      </c>
      <c r="I9" s="4" t="s">
        <v>37</v>
      </c>
      <c r="J9" s="22">
        <v>11400</v>
      </c>
      <c r="L9" s="4" t="str">
        <f t="shared" si="0"/>
        <v>Accessories</v>
      </c>
      <c r="M9" s="23">
        <f t="shared" si="1"/>
        <v>11400</v>
      </c>
      <c r="O9" s="16" t="s">
        <v>33</v>
      </c>
      <c r="P9" s="8">
        <v>2021</v>
      </c>
      <c r="U9" s="4" t="s">
        <v>24</v>
      </c>
      <c r="V9" s="20">
        <v>9100</v>
      </c>
      <c r="X9" s="4" t="str">
        <f t="shared" si="2"/>
        <v>Karnataka</v>
      </c>
      <c r="Y9" s="21">
        <f t="shared" si="3"/>
        <v>9100</v>
      </c>
      <c r="Z9" s="4"/>
      <c r="AA9" s="4" t="s">
        <v>90</v>
      </c>
      <c r="AB9" s="20">
        <v>22800</v>
      </c>
      <c r="AD9" s="4" t="s">
        <v>79</v>
      </c>
      <c r="AE9" s="20">
        <v>56780</v>
      </c>
    </row>
    <row r="10" spans="1:31" x14ac:dyDescent="0.35">
      <c r="A10" s="20">
        <f>GETPIVOTDATA("Profit",$A$6)</f>
        <v>46550</v>
      </c>
      <c r="I10" s="4" t="s">
        <v>35</v>
      </c>
      <c r="J10" s="22">
        <v>21800</v>
      </c>
      <c r="L10" s="4" t="str">
        <f t="shared" si="0"/>
        <v>Bookcases</v>
      </c>
      <c r="M10" s="23">
        <f t="shared" si="1"/>
        <v>21800</v>
      </c>
      <c r="O10" s="17" t="s">
        <v>36</v>
      </c>
      <c r="P10" s="9">
        <v>2021</v>
      </c>
      <c r="U10" s="4" t="s">
        <v>46</v>
      </c>
      <c r="V10" s="20">
        <v>10200</v>
      </c>
      <c r="X10" s="4" t="str">
        <f t="shared" si="2"/>
        <v>Kerala</v>
      </c>
      <c r="Y10" s="21">
        <f t="shared" si="3"/>
        <v>10200</v>
      </c>
      <c r="Z10" s="4"/>
      <c r="AD10" s="4" t="s">
        <v>90</v>
      </c>
      <c r="AE10" s="20">
        <v>436480</v>
      </c>
    </row>
    <row r="11" spans="1:31" x14ac:dyDescent="0.35">
      <c r="I11" s="4" t="s">
        <v>13</v>
      </c>
      <c r="J11" s="22">
        <v>21900</v>
      </c>
      <c r="L11" s="4" t="str">
        <f t="shared" si="0"/>
        <v>Chairs</v>
      </c>
      <c r="M11" s="23">
        <f t="shared" si="1"/>
        <v>21900</v>
      </c>
      <c r="O11" s="16" t="s">
        <v>38</v>
      </c>
      <c r="P11" s="8">
        <v>2021</v>
      </c>
      <c r="U11" s="4" t="s">
        <v>53</v>
      </c>
      <c r="V11" s="20">
        <v>1450</v>
      </c>
      <c r="X11" s="4" t="str">
        <f t="shared" si="2"/>
        <v>Madhya Pradesh</v>
      </c>
      <c r="Y11" s="21">
        <f t="shared" si="3"/>
        <v>1450</v>
      </c>
      <c r="Z11" s="4"/>
    </row>
    <row r="12" spans="1:31" x14ac:dyDescent="0.35">
      <c r="I12" s="4" t="s">
        <v>25</v>
      </c>
      <c r="J12" s="22">
        <v>35300</v>
      </c>
      <c r="L12" s="4" t="str">
        <f t="shared" si="0"/>
        <v>Tables</v>
      </c>
      <c r="M12" s="23">
        <f t="shared" si="1"/>
        <v>35300</v>
      </c>
      <c r="O12" s="17" t="s">
        <v>41</v>
      </c>
      <c r="P12" s="9">
        <v>2021</v>
      </c>
      <c r="U12" s="4" t="s">
        <v>11</v>
      </c>
      <c r="V12" s="20">
        <v>79100</v>
      </c>
      <c r="X12" s="4" t="str">
        <f t="shared" si="2"/>
        <v>Maharashtra</v>
      </c>
      <c r="Y12" s="21">
        <f t="shared" si="3"/>
        <v>79100</v>
      </c>
      <c r="Z12" s="4"/>
    </row>
    <row r="13" spans="1:31" x14ac:dyDescent="0.35">
      <c r="I13" s="4" t="s">
        <v>18</v>
      </c>
      <c r="J13" s="22">
        <v>105000</v>
      </c>
      <c r="L13" s="4" t="str">
        <f t="shared" si="0"/>
        <v>Phones</v>
      </c>
      <c r="M13" s="23">
        <f t="shared" si="1"/>
        <v>105000</v>
      </c>
      <c r="O13" s="16" t="s">
        <v>43</v>
      </c>
      <c r="P13" s="8">
        <v>2022</v>
      </c>
      <c r="U13" s="4" t="s">
        <v>34</v>
      </c>
      <c r="V13" s="20">
        <v>13000</v>
      </c>
      <c r="X13" s="4" t="str">
        <f t="shared" si="2"/>
        <v>Punjab</v>
      </c>
      <c r="Y13" s="21">
        <f t="shared" si="3"/>
        <v>13000</v>
      </c>
      <c r="Z13" s="4"/>
    </row>
    <row r="14" spans="1:31" x14ac:dyDescent="0.35">
      <c r="I14" s="4" t="s">
        <v>28</v>
      </c>
      <c r="J14" s="22">
        <v>215000</v>
      </c>
      <c r="L14" s="4" t="str">
        <f t="shared" si="0"/>
        <v>Laptops</v>
      </c>
      <c r="M14" s="23">
        <f t="shared" si="1"/>
        <v>215000</v>
      </c>
      <c r="O14" s="17" t="s">
        <v>45</v>
      </c>
      <c r="P14" s="9">
        <v>2022</v>
      </c>
      <c r="U14" s="4" t="s">
        <v>27</v>
      </c>
      <c r="V14" s="20">
        <v>61200</v>
      </c>
      <c r="X14" s="4" t="str">
        <f t="shared" si="2"/>
        <v>Rajasthan</v>
      </c>
      <c r="Y14" s="21">
        <f t="shared" si="3"/>
        <v>61200</v>
      </c>
      <c r="Z14" s="4"/>
    </row>
    <row r="15" spans="1:31" x14ac:dyDescent="0.35">
      <c r="I15" s="4" t="s">
        <v>90</v>
      </c>
      <c r="J15" s="22">
        <v>436480</v>
      </c>
      <c r="O15" s="16" t="s">
        <v>48</v>
      </c>
      <c r="P15" s="8">
        <v>2022</v>
      </c>
      <c r="U15" s="4" t="s">
        <v>30</v>
      </c>
      <c r="V15" s="20">
        <v>52900</v>
      </c>
      <c r="X15" s="4" t="str">
        <f t="shared" si="2"/>
        <v>Tamil Nadu</v>
      </c>
      <c r="Y15" s="21">
        <f t="shared" si="3"/>
        <v>52900</v>
      </c>
      <c r="Z15" s="4"/>
    </row>
    <row r="16" spans="1:31" x14ac:dyDescent="0.35">
      <c r="O16" s="17" t="s">
        <v>50</v>
      </c>
      <c r="P16" s="9">
        <v>2022</v>
      </c>
      <c r="U16" s="4" t="s">
        <v>39</v>
      </c>
      <c r="V16" s="20">
        <v>29200</v>
      </c>
      <c r="X16" s="4" t="str">
        <f t="shared" si="2"/>
        <v>Telangana</v>
      </c>
      <c r="Y16" s="21">
        <f t="shared" si="3"/>
        <v>29200</v>
      </c>
      <c r="Z16" s="4"/>
    </row>
    <row r="17" spans="15:26" x14ac:dyDescent="0.35">
      <c r="O17" s="16" t="s">
        <v>52</v>
      </c>
      <c r="P17" s="8">
        <v>2022</v>
      </c>
      <c r="U17" s="4" t="s">
        <v>49</v>
      </c>
      <c r="V17" s="20">
        <v>12400</v>
      </c>
      <c r="X17" s="4" t="str">
        <f t="shared" si="2"/>
        <v>Uttar Pradesh</v>
      </c>
      <c r="Y17" s="21">
        <f t="shared" si="3"/>
        <v>12400</v>
      </c>
      <c r="Z17" s="4"/>
    </row>
    <row r="18" spans="15:26" x14ac:dyDescent="0.35">
      <c r="O18" s="17" t="s">
        <v>55</v>
      </c>
      <c r="P18" s="9">
        <v>2022</v>
      </c>
      <c r="U18" s="4" t="s">
        <v>61</v>
      </c>
      <c r="V18" s="20">
        <v>9700</v>
      </c>
      <c r="X18" s="4" t="str">
        <f t="shared" si="2"/>
        <v>West Bengal</v>
      </c>
      <c r="Y18" s="21">
        <f t="shared" si="3"/>
        <v>9700</v>
      </c>
      <c r="Z18" s="4"/>
    </row>
    <row r="19" spans="15:26" x14ac:dyDescent="0.35">
      <c r="O19" s="16" t="s">
        <v>57</v>
      </c>
      <c r="P19" s="8">
        <v>2022</v>
      </c>
      <c r="U19" s="4" t="s">
        <v>90</v>
      </c>
      <c r="V19" s="20">
        <v>436480</v>
      </c>
    </row>
    <row r="20" spans="15:26" x14ac:dyDescent="0.35">
      <c r="O20" s="17" t="s">
        <v>59</v>
      </c>
      <c r="P20" s="9">
        <v>2022</v>
      </c>
    </row>
    <row r="21" spans="15:26" x14ac:dyDescent="0.35">
      <c r="O21" s="16" t="s">
        <v>60</v>
      </c>
      <c r="P21" s="8">
        <v>2022</v>
      </c>
    </row>
    <row r="22" spans="15:26" x14ac:dyDescent="0.35">
      <c r="O22" s="17" t="s">
        <v>62</v>
      </c>
      <c r="P22" s="9">
        <v>2022</v>
      </c>
    </row>
    <row r="23" spans="15:26" x14ac:dyDescent="0.35">
      <c r="O23" s="16" t="s">
        <v>64</v>
      </c>
      <c r="P23" s="8">
        <v>2023</v>
      </c>
    </row>
    <row r="24" spans="15:26" x14ac:dyDescent="0.35">
      <c r="O24" s="17" t="s">
        <v>65</v>
      </c>
      <c r="P24" s="9">
        <v>2023</v>
      </c>
    </row>
    <row r="25" spans="15:26" x14ac:dyDescent="0.35">
      <c r="O25" s="16" t="s">
        <v>66</v>
      </c>
      <c r="P25" s="8">
        <v>2023</v>
      </c>
    </row>
    <row r="26" spans="15:26" x14ac:dyDescent="0.35">
      <c r="O26" s="17" t="s">
        <v>67</v>
      </c>
      <c r="P26" s="9">
        <v>2023</v>
      </c>
    </row>
    <row r="27" spans="15:26" x14ac:dyDescent="0.35">
      <c r="O27" s="16" t="s">
        <v>68</v>
      </c>
      <c r="P27" s="8">
        <v>2023</v>
      </c>
    </row>
    <row r="28" spans="15:26" x14ac:dyDescent="0.35">
      <c r="O28" s="17" t="s">
        <v>69</v>
      </c>
      <c r="P28" s="9">
        <v>2023</v>
      </c>
    </row>
    <row r="29" spans="15:26" x14ac:dyDescent="0.35">
      <c r="O29" s="16" t="s">
        <v>71</v>
      </c>
      <c r="P29" s="8">
        <v>2023</v>
      </c>
    </row>
    <row r="30" spans="15:26" x14ac:dyDescent="0.35">
      <c r="O30" s="17" t="s">
        <v>72</v>
      </c>
      <c r="P30" s="9">
        <v>2023</v>
      </c>
    </row>
    <row r="31" spans="15:26" x14ac:dyDescent="0.35">
      <c r="O31" s="16" t="s">
        <v>73</v>
      </c>
      <c r="P31" s="8">
        <v>2023</v>
      </c>
    </row>
    <row r="32" spans="15:26" x14ac:dyDescent="0.35">
      <c r="O32" s="17" t="s">
        <v>74</v>
      </c>
      <c r="P32" s="9">
        <v>2023</v>
      </c>
    </row>
    <row r="33" spans="15:16" x14ac:dyDescent="0.35">
      <c r="O33" s="16" t="s">
        <v>75</v>
      </c>
      <c r="P33" s="8">
        <v>2024</v>
      </c>
    </row>
    <row r="34" spans="15:16" x14ac:dyDescent="0.35">
      <c r="O34" s="17" t="s">
        <v>76</v>
      </c>
      <c r="P34" s="9">
        <v>2024</v>
      </c>
    </row>
    <row r="35" spans="15:16" x14ac:dyDescent="0.35">
      <c r="O35" s="16" t="s">
        <v>77</v>
      </c>
      <c r="P35" s="8">
        <v>2024</v>
      </c>
    </row>
    <row r="36" spans="15:16" x14ac:dyDescent="0.35">
      <c r="O36" s="17" t="s">
        <v>78</v>
      </c>
      <c r="P36" s="9">
        <v>2024</v>
      </c>
    </row>
    <row r="37" spans="15:16" x14ac:dyDescent="0.35">
      <c r="O37" s="16" t="s">
        <v>80</v>
      </c>
      <c r="P37" s="8">
        <v>2024</v>
      </c>
    </row>
    <row r="38" spans="15:16" x14ac:dyDescent="0.35">
      <c r="O38" s="17" t="s">
        <v>81</v>
      </c>
      <c r="P38" s="9">
        <v>2024</v>
      </c>
    </row>
    <row r="39" spans="15:16" x14ac:dyDescent="0.35">
      <c r="O39" s="16" t="s">
        <v>82</v>
      </c>
      <c r="P39" s="8">
        <v>2024</v>
      </c>
    </row>
    <row r="40" spans="15:16" x14ac:dyDescent="0.35">
      <c r="O40" s="17" t="s">
        <v>83</v>
      </c>
      <c r="P40" s="9">
        <v>2024</v>
      </c>
    </row>
    <row r="41" spans="15:16" x14ac:dyDescent="0.35">
      <c r="O41" s="16" t="s">
        <v>84</v>
      </c>
      <c r="P41" s="8">
        <v>2024</v>
      </c>
    </row>
    <row r="42" spans="15:16" x14ac:dyDescent="0.35">
      <c r="O42" s="18" t="s">
        <v>85</v>
      </c>
      <c r="P42" s="10">
        <v>2024</v>
      </c>
    </row>
  </sheetData>
  <mergeCells count="6">
    <mergeCell ref="AD2:AE2"/>
    <mergeCell ref="C1:D1"/>
    <mergeCell ref="I1:J1"/>
    <mergeCell ref="R2:S2"/>
    <mergeCell ref="U2:V2"/>
    <mergeCell ref="AA2:AB2"/>
  </mergeCells>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0" zoomScaleNormal="80" workbookViewId="0">
      <selection activeCell="X9" sqref="X9"/>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2026-02-18T06:57:24Z</dcterms:created>
  <dcterms:modified xsi:type="dcterms:W3CDTF">2026-03-04T11:07:38Z</dcterms:modified>
</cp:coreProperties>
</file>